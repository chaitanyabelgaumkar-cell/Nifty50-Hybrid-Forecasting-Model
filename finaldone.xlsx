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printerSettings/printerSettings2.bin" ContentType="application/vnd.openxmlformats-officedocument.spreadsheetml.printerSettings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0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681f99cae44551/Desktop/"/>
    </mc:Choice>
  </mc:AlternateContent>
  <xr:revisionPtr revIDLastSave="275" documentId="8_{6F99F60B-3BF2-42D5-8DC2-19517178CFBF}" xr6:coauthVersionLast="47" xr6:coauthVersionMax="47" xr10:uidLastSave="{3978E63C-0959-42F0-BA4D-5C7F56919E1B}"/>
  <bookViews>
    <workbookView xWindow="-108" yWindow="-108" windowWidth="23256" windowHeight="13176" xr2:uid="{AC81F3B3-2774-4638-AAED-B97FAA9D46B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9" i="11" l="1"/>
  <c r="H130" i="11" s="1"/>
  <c r="H131" i="11" s="1"/>
  <c r="H132" i="11" s="1"/>
  <c r="H133" i="11" s="1"/>
  <c r="H134" i="11" s="1"/>
  <c r="H135" i="11" s="1"/>
  <c r="H136" i="11" s="1"/>
  <c r="H137" i="11" s="1"/>
  <c r="H138" i="11" s="1"/>
  <c r="H139" i="11" s="1"/>
  <c r="H140" i="11" s="1"/>
  <c r="H141" i="11" s="1"/>
  <c r="H142" i="11" s="1"/>
  <c r="H143" i="11" s="1"/>
  <c r="H144" i="11" s="1"/>
  <c r="H145" i="11" s="1"/>
  <c r="G129" i="10"/>
  <c r="G130" i="10" s="1"/>
  <c r="G131" i="10" s="1"/>
  <c r="G132" i="10" s="1"/>
  <c r="G133" i="10" s="1"/>
  <c r="G134" i="10" s="1"/>
  <c r="G135" i="10" s="1"/>
  <c r="G136" i="10" s="1"/>
  <c r="G137" i="10" s="1"/>
  <c r="G138" i="10" s="1"/>
  <c r="G139" i="10" s="1"/>
  <c r="G140" i="10" s="1"/>
  <c r="G141" i="10" s="1"/>
  <c r="G142" i="10" s="1"/>
  <c r="G143" i="10" s="1"/>
  <c r="G144" i="10" s="1"/>
  <c r="G145" i="10" s="1"/>
  <c r="A6" i="9"/>
  <c r="D129" i="7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</calcChain>
</file>

<file path=xl/sharedStrings.xml><?xml version="1.0" encoding="utf-8"?>
<sst xmlns="http://schemas.openxmlformats.org/spreadsheetml/2006/main" count="1069" uniqueCount="246">
  <si>
    <t>Date</t>
  </si>
  <si>
    <t>Nifty 50</t>
  </si>
  <si>
    <t>NIFTY_50</t>
  </si>
  <si>
    <t xml:space="preserve"> Mean</t>
  </si>
  <si>
    <t xml:space="preserve"> Median</t>
  </si>
  <si>
    <t xml:space="preserve"> Maximum</t>
  </si>
  <si>
    <t xml:space="preserve"> Minimum</t>
  </si>
  <si>
    <t xml:space="preserve"> Std. Dev.</t>
  </si>
  <si>
    <t xml:space="preserve"> Skewness</t>
  </si>
  <si>
    <t xml:space="preserve"> Kurtosis</t>
  </si>
  <si>
    <t xml:space="preserve"> Jarque-Bera</t>
  </si>
  <si>
    <t xml:space="preserve"> Probability</t>
  </si>
  <si>
    <t xml:space="preserve"> Sum</t>
  </si>
  <si>
    <t xml:space="preserve"> Sum Sq. Dev.</t>
  </si>
  <si>
    <t xml:space="preserve"> Observations</t>
  </si>
  <si>
    <t>Null Hypothesis: NIFTY_50 has a unit root</t>
  </si>
  <si>
    <t>Exogenous: Constant</t>
  </si>
  <si>
    <t>Lag Length: 0 (Automatic - based on SIC, maxlag=12)</t>
  </si>
  <si>
    <t>t-Statistic</t>
  </si>
  <si>
    <t xml:space="preserve">  Prob.*</t>
  </si>
  <si>
    <t>Augmented Dickey-Fuller test statistic</t>
  </si>
  <si>
    <t>Test critical values:</t>
  </si>
  <si>
    <t>1% level</t>
  </si>
  <si>
    <t>5% level</t>
  </si>
  <si>
    <t>10% level</t>
  </si>
  <si>
    <t>*MacKinnon (1996) one-sided p-values.</t>
  </si>
  <si>
    <t>Exogenous: None</t>
  </si>
  <si>
    <t>Exogenous: Constant, Linear Trend</t>
  </si>
  <si>
    <t>Heteroskedasticity Test: ARCH</t>
  </si>
  <si>
    <t>F-statistic</t>
  </si>
  <si>
    <t xml:space="preserve">    Prob. F(1,123)</t>
  </si>
  <si>
    <t>Obs*R-squared</t>
  </si>
  <si>
    <t xml:space="preserve">    Prob. Chi-Square(1)</t>
  </si>
  <si>
    <t>Variable</t>
  </si>
  <si>
    <t>Coefficient</t>
  </si>
  <si>
    <t>Std. Error</t>
  </si>
  <si>
    <t>z-Statistic</t>
  </si>
  <si>
    <t xml:space="preserve">Prob.  </t>
  </si>
  <si>
    <t>C</t>
  </si>
  <si>
    <t>AR(1)</t>
  </si>
  <si>
    <t>MA(1)</t>
  </si>
  <si>
    <t>Variance Equation</t>
  </si>
  <si>
    <t>RESID(-1)^2</t>
  </si>
  <si>
    <t>GARCH(-1)</t>
  </si>
  <si>
    <t>R-squared</t>
  </si>
  <si>
    <t xml:space="preserve">    Mean dependent var</t>
  </si>
  <si>
    <t>Adjusted R-squared</t>
  </si>
  <si>
    <t xml:space="preserve">    S.D. dependent var</t>
  </si>
  <si>
    <t>S.E. of regression</t>
  </si>
  <si>
    <t xml:space="preserve">    Akaike info criterion</t>
  </si>
  <si>
    <t>Sum squared resid</t>
  </si>
  <si>
    <t xml:space="preserve">    Schwarz criterion</t>
  </si>
  <si>
    <t>Log likelihood</t>
  </si>
  <si>
    <t xml:space="preserve">    Hannan-Quinn criter.</t>
  </si>
  <si>
    <t>Durbin-Watson stat</t>
  </si>
  <si>
    <t>AR(2)</t>
  </si>
  <si>
    <t>MA(2)</t>
  </si>
  <si>
    <t>GARCH = C(5) + C(6)*RESID(-1)^2 + C(7)*GARCH(-1)</t>
  </si>
  <si>
    <t>SQRT(GARCH)</t>
  </si>
  <si>
    <t>AR(3)</t>
  </si>
  <si>
    <t>MA(3)</t>
  </si>
  <si>
    <t>AR(4)</t>
  </si>
  <si>
    <t>MA(4)</t>
  </si>
  <si>
    <t>AR(5)</t>
  </si>
  <si>
    <t>MA(5)</t>
  </si>
  <si>
    <t>AR(7)</t>
  </si>
  <si>
    <t>MA(7)</t>
  </si>
  <si>
    <t>AR(19)</t>
  </si>
  <si>
    <t>MA(19)</t>
  </si>
  <si>
    <t>AR(26)</t>
  </si>
  <si>
    <t>MA(26)</t>
  </si>
  <si>
    <t>GARCH = C(7) + C(8)*RESID(-1)^2 + C(9)*GARCH(-1)</t>
  </si>
  <si>
    <t>Estimation Command:</t>
  </si>
  <si>
    <t>=========================</t>
  </si>
  <si>
    <t>ARCH(ARCHM=SD, fixedlag=32) NNIFTY C AR(26) MA(26) AR(19) MA(19)</t>
  </si>
  <si>
    <t>Estimation Equation:</t>
  </si>
  <si>
    <t>NNIFTY = C(1)*@SQRT(GARCH) + C(2) + [AR(26)=C(3),AR(19)=C(4),MA(26)=C(5),MA(19)=C(6),BACKCAST=2017M04,ESTSMPL="2017M04 2025M07"]</t>
  </si>
  <si>
    <t>Substituted Coefficients:</t>
  </si>
  <si>
    <t>NNIFTY = 0.297350185511*@SQRT(GARCH) + 4.73969206776 + [AR(26)=-0.568669712456,AR(19)=-0.121323091265,MA(26)=0.794235745305,MA(19)=-0.0357921160782,BACKCAST=2017M04,ESTSMPL="2017M04 2025M07"]</t>
  </si>
  <si>
    <t>GARCH = 257607.05027 + 0.597874413626*RESID(-1)^2 - 0.0759921009825*GARCH(-1)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</si>
  <si>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</si>
  <si>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</si>
  <si>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</si>
  <si>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</si>
  <si>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</si>
  <si>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</si>
  <si>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</si>
  <si>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</si>
  <si>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</si>
  <si>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</si>
  <si>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</si>
  <si>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</si>
  <si>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</si>
  <si>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</si>
  <si>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</si>
  <si>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</si>
  <si>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</si>
  <si>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</si>
  <si>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</si>
  <si>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</si>
  <si>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</si>
  <si>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</si>
  <si>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</si>
  <si>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</si>
  <si>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</si>
  <si>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</si>
  <si>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</si>
  <si>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</si>
  <si>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</si>
  <si>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</si>
  <si>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</si>
  <si>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</si>
  <si>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</si>
  <si>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</si>
  <si>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</si>
  <si>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</si>
  <si>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</si>
  <si>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</si>
  <si>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</si>
  <si>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</si>
  <si>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</si>
  <si>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</si>
  <si>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</si>
  <si>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</si>
  <si>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</si>
  <si>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</si>
  <si>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</si>
  <si>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</si>
  <si>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</si>
  <si>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</si>
  <si>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</si>
  <si>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</si>
  <si>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</si>
  <si>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</si>
  <si>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</si>
  <si>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</si>
  <si>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</si>
  <si>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</si>
  <si>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</si>
  <si>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</si>
  <si>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</si>
  <si>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</si>
  <si>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</si>
  <si>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</si>
  <si>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</si>
  <si>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</si>
  <si>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</si>
  <si>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</si>
  <si>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</si>
  <si>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</si>
  <si>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</si>
  <si>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</si>
  <si>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</si>
  <si>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</si>
  <si>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</si>
  <si>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</si>
  <si>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</si>
  <si>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</si>
  <si>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</si>
  <si>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</si>
  <si>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</si>
  <si>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</si>
  <si>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</si>
  <si>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</si>
  <si>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</si>
  <si>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</si>
  <si>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</si>
  <si>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</si>
  <si>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</si>
  <si>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</si>
  <si>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</si>
  <si>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</si>
  <si>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</si>
  <si>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</si>
  <si>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</si>
  <si>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</si>
  <si>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</si>
  <si>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</si>
  <si>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</si>
  <si>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</si>
  <si>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</si>
  <si>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</si>
  <si>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</si>
  <si>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</si>
  <si>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</si>
  <si>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</si>
  <si>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</si>
  <si>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</si>
  <si>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</si>
  <si>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</si>
  <si>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</si>
  <si>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</si>
  <si>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</si>
  <si>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</si>
  <si>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</si>
  <si>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</si>
  <si>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</si>
  <si>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</si>
  <si>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</si>
  <si>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</si>
  <si>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</si>
  <si>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</si>
  <si>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</si>
  <si>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</si>
  <si>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</si>
  <si>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</si>
  <si>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</si>
  <si>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</si>
  <si>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</si>
  <si>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</si>
  <si>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</si>
  <si>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</si>
  <si>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</si>
  <si>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</si>
  <si>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</si>
  <si>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</si>
  <si>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</si>
  <si>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</si>
  <si>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</si>
  <si>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</si>
  <si>
    <t>2026M09</t>
  </si>
  <si>
    <t>2026M10</t>
  </si>
  <si>
    <t>2026M11</t>
  </si>
  <si>
    <t>2026M12</t>
  </si>
  <si>
    <t xml:space="preserve">Forecasted Value </t>
  </si>
  <si>
    <t>LOG(GARCH) = C(7) + C(8)*ABS(RESID(-1)/@SQRT(GARCH(-1))) + C(9)</t>
  </si>
  <si>
    <t xml:space="preserve">        *RESID(-1)/@SQRT(GARCH(-1)) + C(10)*LOG(GARCH(-1))</t>
  </si>
  <si>
    <t>C(7)</t>
  </si>
  <si>
    <t>C(8)</t>
  </si>
  <si>
    <t>C(9)</t>
  </si>
  <si>
    <t>C(10)</t>
  </si>
  <si>
    <t xml:space="preserve">    Prob. F(1,96)</t>
  </si>
  <si>
    <t>@SQRT(GARCH)^C(12) = C(8) + C(9)*(ABS(RESID(-1)) - C(10)*RESID(</t>
  </si>
  <si>
    <t xml:space="preserve">        -1))^C(12) + C(11)*@SQRT(GARCH(-1))^C(12)</t>
  </si>
  <si>
    <t>NNIFTY(-1)</t>
  </si>
  <si>
    <t>C(11)</t>
  </si>
  <si>
    <t>C(12)</t>
  </si>
  <si>
    <t xml:space="preserve">Forecasted </t>
  </si>
  <si>
    <t xml:space="preserve">  </t>
  </si>
  <si>
    <t xml:space="preserve">Date </t>
  </si>
  <si>
    <t>Forecasted</t>
  </si>
  <si>
    <t>Close</t>
  </si>
  <si>
    <t xml:space="preserve">mean equation analysis </t>
  </si>
  <si>
    <t>MA 26</t>
  </si>
  <si>
    <t>Mean equation analysis</t>
  </si>
  <si>
    <t>AR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</si>
</sst>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3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3" fillId="0" borderId="0" xfId="0" applyFont="1"/>
    <xf numFmtId="0" fontId="2" fillId="0" borderId="3" xfId="0" applyFont="1" applyBorder="1"/>
    <xf numFmtId="0" fontId="3" fillId="0" borderId="3" xfId="0" applyFont="1" applyBorder="1"/>
    <xf numFmtId="0" fontId="2" fillId="0" borderId="0" xfId="0" applyFont="1"/>
    <xf numFmtId="0" fontId="2" fillId="0" borderId="2" xfId="0" applyFont="1" applyBorder="1"/>
    <xf numFmtId="0" fontId="0" fillId="0" borderId="3" xfId="0" applyBorder="1"/>
    <xf numFmtId="0" fontId="2" fillId="0" borderId="4" xfId="0" applyFont="1" applyBorder="1"/>
    <xf numFmtId="0" fontId="3" fillId="0" borderId="4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4" xfId="0" applyFont="1" applyBorder="1"/>
    <xf numFmtId="0" fontId="0" fillId="0" borderId="4" xfId="0" applyBorder="1" applyAlignment="1">
      <alignment horizontal="right"/>
    </xf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Sheet7!$L$1</c:f>
              <c:strCache>
                <c:ptCount val="1"/>
                <c:pt idx="0">
                  <c:v>Nifty 50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Sheet7!$K$2:$K$145</c:f>
              <c:numCache>
                <c:formatCode>General</c:formatCode>
                <c:ptCount val="144"/>
                <c:pt idx="0">
                  <c:v>201501</c:v>
                </c:pt>
                <c:pt idx="1">
                  <c:v>201502</c:v>
                </c:pt>
                <c:pt idx="2">
                  <c:v>201503</c:v>
                </c:pt>
                <c:pt idx="3">
                  <c:v>201504</c:v>
                </c:pt>
                <c:pt idx="4">
                  <c:v>201505</c:v>
                </c:pt>
                <c:pt idx="5">
                  <c:v>201506</c:v>
                </c:pt>
                <c:pt idx="6">
                  <c:v>201507</c:v>
                </c:pt>
                <c:pt idx="7">
                  <c:v>201508</c:v>
                </c:pt>
                <c:pt idx="8">
                  <c:v>201509</c:v>
                </c:pt>
                <c:pt idx="9">
                  <c:v>201510</c:v>
                </c:pt>
                <c:pt idx="10">
                  <c:v>201511</c:v>
                </c:pt>
                <c:pt idx="11">
                  <c:v>201512</c:v>
                </c:pt>
                <c:pt idx="12">
                  <c:v>201601</c:v>
                </c:pt>
                <c:pt idx="13">
                  <c:v>201602</c:v>
                </c:pt>
                <c:pt idx="14">
                  <c:v>201603</c:v>
                </c:pt>
                <c:pt idx="15">
                  <c:v>201604</c:v>
                </c:pt>
                <c:pt idx="16">
                  <c:v>201605</c:v>
                </c:pt>
                <c:pt idx="17">
                  <c:v>201606</c:v>
                </c:pt>
                <c:pt idx="18">
                  <c:v>201607</c:v>
                </c:pt>
                <c:pt idx="19">
                  <c:v>201608</c:v>
                </c:pt>
                <c:pt idx="20">
                  <c:v>201609</c:v>
                </c:pt>
                <c:pt idx="21">
                  <c:v>201610</c:v>
                </c:pt>
                <c:pt idx="22">
                  <c:v>201611</c:v>
                </c:pt>
                <c:pt idx="23">
                  <c:v>201612</c:v>
                </c:pt>
                <c:pt idx="24">
                  <c:v>201701</c:v>
                </c:pt>
                <c:pt idx="25">
                  <c:v>201702</c:v>
                </c:pt>
                <c:pt idx="26">
                  <c:v>201703</c:v>
                </c:pt>
                <c:pt idx="27">
                  <c:v>201704</c:v>
                </c:pt>
                <c:pt idx="28">
                  <c:v>201705</c:v>
                </c:pt>
                <c:pt idx="29">
                  <c:v>201706</c:v>
                </c:pt>
                <c:pt idx="30">
                  <c:v>201707</c:v>
                </c:pt>
                <c:pt idx="31">
                  <c:v>201708</c:v>
                </c:pt>
                <c:pt idx="32">
                  <c:v>201709</c:v>
                </c:pt>
                <c:pt idx="33">
                  <c:v>201710</c:v>
                </c:pt>
                <c:pt idx="34">
                  <c:v>201711</c:v>
                </c:pt>
                <c:pt idx="35">
                  <c:v>201712</c:v>
                </c:pt>
                <c:pt idx="36">
                  <c:v>201801</c:v>
                </c:pt>
                <c:pt idx="37">
                  <c:v>201802</c:v>
                </c:pt>
                <c:pt idx="38">
                  <c:v>201803</c:v>
                </c:pt>
                <c:pt idx="39">
                  <c:v>201804</c:v>
                </c:pt>
                <c:pt idx="40">
                  <c:v>201805</c:v>
                </c:pt>
                <c:pt idx="41">
                  <c:v>201806</c:v>
                </c:pt>
                <c:pt idx="42">
                  <c:v>201807</c:v>
                </c:pt>
                <c:pt idx="43">
                  <c:v>201808</c:v>
                </c:pt>
                <c:pt idx="44">
                  <c:v>201809</c:v>
                </c:pt>
                <c:pt idx="45">
                  <c:v>201810</c:v>
                </c:pt>
                <c:pt idx="46">
                  <c:v>201811</c:v>
                </c:pt>
                <c:pt idx="47">
                  <c:v>201812</c:v>
                </c:pt>
                <c:pt idx="48">
                  <c:v>201901</c:v>
                </c:pt>
                <c:pt idx="49">
                  <c:v>201902</c:v>
                </c:pt>
                <c:pt idx="50">
                  <c:v>201903</c:v>
                </c:pt>
                <c:pt idx="51">
                  <c:v>201904</c:v>
                </c:pt>
                <c:pt idx="52">
                  <c:v>201905</c:v>
                </c:pt>
                <c:pt idx="53">
                  <c:v>201906</c:v>
                </c:pt>
                <c:pt idx="54">
                  <c:v>201907</c:v>
                </c:pt>
                <c:pt idx="55">
                  <c:v>201908</c:v>
                </c:pt>
                <c:pt idx="56">
                  <c:v>201909</c:v>
                </c:pt>
                <c:pt idx="57">
                  <c:v>201910</c:v>
                </c:pt>
                <c:pt idx="58">
                  <c:v>201911</c:v>
                </c:pt>
                <c:pt idx="59">
                  <c:v>201912</c:v>
                </c:pt>
                <c:pt idx="60">
                  <c:v>202001</c:v>
                </c:pt>
                <c:pt idx="61">
                  <c:v>202002</c:v>
                </c:pt>
                <c:pt idx="62">
                  <c:v>202003</c:v>
                </c:pt>
                <c:pt idx="63">
                  <c:v>202004</c:v>
                </c:pt>
                <c:pt idx="64">
                  <c:v>202005</c:v>
                </c:pt>
                <c:pt idx="65">
                  <c:v>202006</c:v>
                </c:pt>
                <c:pt idx="66">
                  <c:v>202007</c:v>
                </c:pt>
                <c:pt idx="67">
                  <c:v>202008</c:v>
                </c:pt>
                <c:pt idx="68">
                  <c:v>202009</c:v>
                </c:pt>
                <c:pt idx="69">
                  <c:v>202010</c:v>
                </c:pt>
                <c:pt idx="70">
                  <c:v>202011</c:v>
                </c:pt>
                <c:pt idx="71">
                  <c:v>202012</c:v>
                </c:pt>
                <c:pt idx="72">
                  <c:v>202101</c:v>
                </c:pt>
                <c:pt idx="73">
                  <c:v>202102</c:v>
                </c:pt>
                <c:pt idx="74">
                  <c:v>202103</c:v>
                </c:pt>
                <c:pt idx="75">
                  <c:v>202104</c:v>
                </c:pt>
                <c:pt idx="76">
                  <c:v>202105</c:v>
                </c:pt>
                <c:pt idx="77">
                  <c:v>202106</c:v>
                </c:pt>
                <c:pt idx="78">
                  <c:v>202107</c:v>
                </c:pt>
                <c:pt idx="79">
                  <c:v>202108</c:v>
                </c:pt>
                <c:pt idx="80">
                  <c:v>202109</c:v>
                </c:pt>
                <c:pt idx="81">
                  <c:v>202110</c:v>
                </c:pt>
                <c:pt idx="82">
                  <c:v>202111</c:v>
                </c:pt>
                <c:pt idx="83">
                  <c:v>202112</c:v>
                </c:pt>
                <c:pt idx="84">
                  <c:v>202201</c:v>
                </c:pt>
                <c:pt idx="85">
                  <c:v>202202</c:v>
                </c:pt>
                <c:pt idx="86">
                  <c:v>202203</c:v>
                </c:pt>
                <c:pt idx="87">
                  <c:v>202204</c:v>
                </c:pt>
                <c:pt idx="88">
                  <c:v>202205</c:v>
                </c:pt>
                <c:pt idx="89">
                  <c:v>202206</c:v>
                </c:pt>
                <c:pt idx="90">
                  <c:v>202207</c:v>
                </c:pt>
                <c:pt idx="91">
                  <c:v>202208</c:v>
                </c:pt>
                <c:pt idx="92">
                  <c:v>202209</c:v>
                </c:pt>
                <c:pt idx="93">
                  <c:v>202210</c:v>
                </c:pt>
                <c:pt idx="94">
                  <c:v>202211</c:v>
                </c:pt>
                <c:pt idx="95">
                  <c:v>202212</c:v>
                </c:pt>
                <c:pt idx="96">
                  <c:v>202301</c:v>
                </c:pt>
                <c:pt idx="97">
                  <c:v>202302</c:v>
                </c:pt>
                <c:pt idx="98">
                  <c:v>202303</c:v>
                </c:pt>
                <c:pt idx="99">
                  <c:v>202304</c:v>
                </c:pt>
                <c:pt idx="100">
                  <c:v>202305</c:v>
                </c:pt>
                <c:pt idx="101">
                  <c:v>202306</c:v>
                </c:pt>
                <c:pt idx="102">
                  <c:v>202307</c:v>
                </c:pt>
                <c:pt idx="103">
                  <c:v>202308</c:v>
                </c:pt>
                <c:pt idx="104">
                  <c:v>202309</c:v>
                </c:pt>
                <c:pt idx="105">
                  <c:v>202310</c:v>
                </c:pt>
                <c:pt idx="106">
                  <c:v>202311</c:v>
                </c:pt>
                <c:pt idx="107">
                  <c:v>202312</c:v>
                </c:pt>
                <c:pt idx="108">
                  <c:v>202401</c:v>
                </c:pt>
                <c:pt idx="109">
                  <c:v>202402</c:v>
                </c:pt>
                <c:pt idx="110">
                  <c:v>202403</c:v>
                </c:pt>
                <c:pt idx="111">
                  <c:v>202404</c:v>
                </c:pt>
                <c:pt idx="112">
                  <c:v>202405</c:v>
                </c:pt>
                <c:pt idx="113">
                  <c:v>202406</c:v>
                </c:pt>
                <c:pt idx="114">
                  <c:v>202407</c:v>
                </c:pt>
                <c:pt idx="115">
                  <c:v>202408</c:v>
                </c:pt>
                <c:pt idx="116">
                  <c:v>202409</c:v>
                </c:pt>
                <c:pt idx="117">
                  <c:v>202410</c:v>
                </c:pt>
                <c:pt idx="118">
                  <c:v>202411</c:v>
                </c:pt>
                <c:pt idx="119">
                  <c:v>202412</c:v>
                </c:pt>
                <c:pt idx="120">
                  <c:v>202501</c:v>
                </c:pt>
                <c:pt idx="121">
                  <c:v>202502</c:v>
                </c:pt>
                <c:pt idx="122">
                  <c:v>202503</c:v>
                </c:pt>
                <c:pt idx="123">
                  <c:v>202504</c:v>
                </c:pt>
                <c:pt idx="124">
                  <c:v>202505</c:v>
                </c:pt>
                <c:pt idx="125">
                  <c:v>202506</c:v>
                </c:pt>
                <c:pt idx="126">
                  <c:v>202507</c:v>
                </c:pt>
                <c:pt idx="127">
                  <c:v>202508</c:v>
                </c:pt>
                <c:pt idx="128">
                  <c:v>202509</c:v>
                </c:pt>
                <c:pt idx="129">
                  <c:v>202510</c:v>
                </c:pt>
                <c:pt idx="130">
                  <c:v>202511</c:v>
                </c:pt>
                <c:pt idx="131">
                  <c:v>202512</c:v>
                </c:pt>
                <c:pt idx="132">
                  <c:v>202601</c:v>
                </c:pt>
                <c:pt idx="133">
                  <c:v>202602</c:v>
                </c:pt>
                <c:pt idx="134">
                  <c:v>202603</c:v>
                </c:pt>
                <c:pt idx="135">
                  <c:v>202604</c:v>
                </c:pt>
                <c:pt idx="136">
                  <c:v>202605</c:v>
                </c:pt>
                <c:pt idx="137">
                  <c:v>202606</c:v>
                </c:pt>
                <c:pt idx="138">
                  <c:v>202607</c:v>
                </c:pt>
                <c:pt idx="139">
                  <c:v>202608</c:v>
                </c:pt>
                <c:pt idx="140">
                  <c:v>202609</c:v>
                </c:pt>
                <c:pt idx="141">
                  <c:v>202610</c:v>
                </c:pt>
                <c:pt idx="142">
                  <c:v>202611</c:v>
                </c:pt>
                <c:pt idx="143">
                  <c:v>202612</c:v>
                </c:pt>
              </c:numCache>
            </c:numRef>
          </c:cat>
          <c:val>
            <c:numRef>
              <c:f>Sheet7!$L$2:$L$145</c:f>
              <c:numCache>
                <c:formatCode>General</c:formatCode>
                <c:ptCount val="144"/>
                <c:pt idx="0">
                  <c:v>8808.900390625</c:v>
                </c:pt>
                <c:pt idx="1">
                  <c:v>8901.85</c:v>
                </c:pt>
                <c:pt idx="2">
                  <c:v>8491</c:v>
                </c:pt>
                <c:pt idx="3">
                  <c:v>8181.5</c:v>
                </c:pt>
                <c:pt idx="4">
                  <c:v>8433.65</c:v>
                </c:pt>
                <c:pt idx="5">
                  <c:v>8368.5</c:v>
                </c:pt>
                <c:pt idx="6">
                  <c:v>8532.85</c:v>
                </c:pt>
                <c:pt idx="7">
                  <c:v>7971.3</c:v>
                </c:pt>
                <c:pt idx="8">
                  <c:v>7948.9</c:v>
                </c:pt>
                <c:pt idx="9">
                  <c:v>8065.8</c:v>
                </c:pt>
                <c:pt idx="10">
                  <c:v>7935.25</c:v>
                </c:pt>
                <c:pt idx="11">
                  <c:v>7946.35</c:v>
                </c:pt>
                <c:pt idx="12">
                  <c:v>7563.55</c:v>
                </c:pt>
                <c:pt idx="13">
                  <c:v>6987.05</c:v>
                </c:pt>
                <c:pt idx="14">
                  <c:v>7738.4</c:v>
                </c:pt>
                <c:pt idx="15">
                  <c:v>7849.7998046875</c:v>
                </c:pt>
                <c:pt idx="16">
                  <c:v>8160.10009765625</c:v>
                </c:pt>
                <c:pt idx="17">
                  <c:v>8287.75</c:v>
                </c:pt>
                <c:pt idx="18">
                  <c:v>8638.5</c:v>
                </c:pt>
                <c:pt idx="19">
                  <c:v>8786.2001953125</c:v>
                </c:pt>
                <c:pt idx="20">
                  <c:v>8611.150390625</c:v>
                </c:pt>
                <c:pt idx="21">
                  <c:v>8625.7001953125</c:v>
                </c:pt>
                <c:pt idx="22">
                  <c:v>8224.5</c:v>
                </c:pt>
                <c:pt idx="23">
                  <c:v>8185.7998046875</c:v>
                </c:pt>
                <c:pt idx="24">
                  <c:v>8561.2998046875</c:v>
                </c:pt>
                <c:pt idx="25">
                  <c:v>8879.599609375</c:v>
                </c:pt>
                <c:pt idx="26">
                  <c:v>9173.75</c:v>
                </c:pt>
                <c:pt idx="27">
                  <c:v>9304.0498046875</c:v>
                </c:pt>
                <c:pt idx="28">
                  <c:v>9621.25</c:v>
                </c:pt>
                <c:pt idx="29">
                  <c:v>9520.900390625</c:v>
                </c:pt>
                <c:pt idx="30">
                  <c:v>10077.099609375</c:v>
                </c:pt>
                <c:pt idx="31">
                  <c:v>9917.900390625</c:v>
                </c:pt>
                <c:pt idx="32">
                  <c:v>9788.599609375</c:v>
                </c:pt>
                <c:pt idx="33">
                  <c:v>10335.2998046875</c:v>
                </c:pt>
                <c:pt idx="34">
                  <c:v>10226.5498046875</c:v>
                </c:pt>
                <c:pt idx="35">
                  <c:v>10530.7001953125</c:v>
                </c:pt>
                <c:pt idx="36">
                  <c:v>11027.7001953125</c:v>
                </c:pt>
                <c:pt idx="37">
                  <c:v>10492.849609375</c:v>
                </c:pt>
                <c:pt idx="38">
                  <c:v>10113.7001953125</c:v>
                </c:pt>
                <c:pt idx="39">
                  <c:v>10739.349609375</c:v>
                </c:pt>
                <c:pt idx="40">
                  <c:v>10736.150390625</c:v>
                </c:pt>
                <c:pt idx="41">
                  <c:v>10714.2998046875</c:v>
                </c:pt>
                <c:pt idx="42">
                  <c:v>11356.5</c:v>
                </c:pt>
                <c:pt idx="43">
                  <c:v>11680.5</c:v>
                </c:pt>
                <c:pt idx="44">
                  <c:v>10930.4501953125</c:v>
                </c:pt>
                <c:pt idx="45">
                  <c:v>10386.599609375</c:v>
                </c:pt>
                <c:pt idx="46">
                  <c:v>10876.75</c:v>
                </c:pt>
                <c:pt idx="47">
                  <c:v>10862.5498046875</c:v>
                </c:pt>
                <c:pt idx="48">
                  <c:v>10830.9501953125</c:v>
                </c:pt>
                <c:pt idx="49">
                  <c:v>10792.5</c:v>
                </c:pt>
                <c:pt idx="50">
                  <c:v>11623.900390625</c:v>
                </c:pt>
                <c:pt idx="51">
                  <c:v>11748.150390625</c:v>
                </c:pt>
                <c:pt idx="52">
                  <c:v>11922.7998046875</c:v>
                </c:pt>
                <c:pt idx="53">
                  <c:v>11788.849609375</c:v>
                </c:pt>
                <c:pt idx="54">
                  <c:v>11118</c:v>
                </c:pt>
                <c:pt idx="55">
                  <c:v>11023.25</c:v>
                </c:pt>
                <c:pt idx="56">
                  <c:v>11474.4501953125</c:v>
                </c:pt>
                <c:pt idx="57">
                  <c:v>11877.4501953125</c:v>
                </c:pt>
                <c:pt idx="58">
                  <c:v>12056.0498046875</c:v>
                </c:pt>
                <c:pt idx="59">
                  <c:v>12168.4501953125</c:v>
                </c:pt>
                <c:pt idx="60">
                  <c:v>11962.099609375</c:v>
                </c:pt>
                <c:pt idx="61">
                  <c:v>11201.75</c:v>
                </c:pt>
                <c:pt idx="62">
                  <c:v>8597.75</c:v>
                </c:pt>
                <c:pt idx="63">
                  <c:v>9859.900390625</c:v>
                </c:pt>
                <c:pt idx="64">
                  <c:v>9580.2998046875</c:v>
                </c:pt>
                <c:pt idx="65">
                  <c:v>10302.099609375</c:v>
                </c:pt>
                <c:pt idx="66">
                  <c:v>11073.4501953125</c:v>
                </c:pt>
                <c:pt idx="67">
                  <c:v>11387.5</c:v>
                </c:pt>
                <c:pt idx="68">
                  <c:v>11247.5498046875</c:v>
                </c:pt>
                <c:pt idx="69">
                  <c:v>11642.4</c:v>
                </c:pt>
                <c:pt idx="70">
                  <c:v>12968.95</c:v>
                </c:pt>
                <c:pt idx="71">
                  <c:v>13981.75</c:v>
                </c:pt>
                <c:pt idx="72">
                  <c:v>13634.6</c:v>
                </c:pt>
                <c:pt idx="73">
                  <c:v>14529.15</c:v>
                </c:pt>
                <c:pt idx="74">
                  <c:v>14690.7</c:v>
                </c:pt>
                <c:pt idx="75">
                  <c:v>14631.1</c:v>
                </c:pt>
                <c:pt idx="76">
                  <c:v>15582.8</c:v>
                </c:pt>
                <c:pt idx="77">
                  <c:v>15721.5</c:v>
                </c:pt>
                <c:pt idx="78">
                  <c:v>15763.05</c:v>
                </c:pt>
                <c:pt idx="79">
                  <c:v>17132.2</c:v>
                </c:pt>
                <c:pt idx="80">
                  <c:v>17618.150000000001</c:v>
                </c:pt>
                <c:pt idx="81">
                  <c:v>17671.650000000001</c:v>
                </c:pt>
                <c:pt idx="82">
                  <c:v>16983.2</c:v>
                </c:pt>
                <c:pt idx="83">
                  <c:v>17354.05</c:v>
                </c:pt>
                <c:pt idx="84">
                  <c:v>17339.849999999999</c:v>
                </c:pt>
                <c:pt idx="85">
                  <c:v>16793.900000000001</c:v>
                </c:pt>
                <c:pt idx="86">
                  <c:v>17464.75</c:v>
                </c:pt>
                <c:pt idx="87">
                  <c:v>17102.55</c:v>
                </c:pt>
                <c:pt idx="88">
                  <c:v>16584.55</c:v>
                </c:pt>
                <c:pt idx="89">
                  <c:v>15780.25</c:v>
                </c:pt>
                <c:pt idx="90">
                  <c:v>17158.25</c:v>
                </c:pt>
                <c:pt idx="91">
                  <c:v>17759.3</c:v>
                </c:pt>
                <c:pt idx="92">
                  <c:v>17094.349999999999</c:v>
                </c:pt>
                <c:pt idx="93">
                  <c:v>18012.2</c:v>
                </c:pt>
                <c:pt idx="94">
                  <c:v>18758.349999999999</c:v>
                </c:pt>
                <c:pt idx="95">
                  <c:v>18105.3</c:v>
                </c:pt>
                <c:pt idx="96">
                  <c:v>17662.150000000001</c:v>
                </c:pt>
                <c:pt idx="97">
                  <c:v>17303.95</c:v>
                </c:pt>
                <c:pt idx="98">
                  <c:v>17359.75</c:v>
                </c:pt>
                <c:pt idx="99">
                  <c:v>18065</c:v>
                </c:pt>
                <c:pt idx="100">
                  <c:v>18534.400000000001</c:v>
                </c:pt>
                <c:pt idx="101">
                  <c:v>19189.05</c:v>
                </c:pt>
                <c:pt idx="102">
                  <c:v>19753.8</c:v>
                </c:pt>
                <c:pt idx="103">
                  <c:v>19253.8</c:v>
                </c:pt>
                <c:pt idx="104">
                  <c:v>19638.3</c:v>
                </c:pt>
                <c:pt idx="105">
                  <c:v>19079.599999999999</c:v>
                </c:pt>
                <c:pt idx="106">
                  <c:v>20133.150000000001</c:v>
                </c:pt>
                <c:pt idx="107">
                  <c:v>21731.4</c:v>
                </c:pt>
                <c:pt idx="108">
                  <c:v>21725.7</c:v>
                </c:pt>
                <c:pt idx="109">
                  <c:v>21982.799999999999</c:v>
                </c:pt>
                <c:pt idx="110">
                  <c:v>22326.9</c:v>
                </c:pt>
                <c:pt idx="111">
                  <c:v>22604.85</c:v>
                </c:pt>
                <c:pt idx="112">
                  <c:v>22530.7</c:v>
                </c:pt>
                <c:pt idx="113">
                  <c:v>24010.6</c:v>
                </c:pt>
                <c:pt idx="114">
                  <c:v>24951.15</c:v>
                </c:pt>
                <c:pt idx="115">
                  <c:v>25235.9</c:v>
                </c:pt>
                <c:pt idx="116">
                  <c:v>25810.85</c:v>
                </c:pt>
                <c:pt idx="117">
                  <c:v>24205.35</c:v>
                </c:pt>
                <c:pt idx="118">
                  <c:v>24131.1</c:v>
                </c:pt>
                <c:pt idx="119">
                  <c:v>23644.799999999999</c:v>
                </c:pt>
                <c:pt idx="120">
                  <c:v>23508.400000000001</c:v>
                </c:pt>
                <c:pt idx="121">
                  <c:v>22124.7</c:v>
                </c:pt>
                <c:pt idx="122">
                  <c:v>23519.35</c:v>
                </c:pt>
                <c:pt idx="123">
                  <c:v>24334.2</c:v>
                </c:pt>
                <c:pt idx="124">
                  <c:v>24750.7</c:v>
                </c:pt>
                <c:pt idx="125">
                  <c:v>25517.05</c:v>
                </c:pt>
                <c:pt idx="126">
                  <c:v>24768.35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A3-46FC-9348-0B6CFE398618}"/>
            </c:ext>
          </c:extLst>
        </c:ser>
        <c:ser>
          <c:idx val="1"/>
          <c:order val="1"/>
          <c:tx>
            <c:strRef>
              <c:f>Sheet7!$M$1</c:f>
              <c:strCache>
                <c:ptCount val="1"/>
                <c:pt idx="0">
                  <c:v>Forecasted Value 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Sheet7!$K$2:$K$145</c:f>
              <c:numCache>
                <c:formatCode>General</c:formatCode>
                <c:ptCount val="144"/>
                <c:pt idx="0">
                  <c:v>201501</c:v>
                </c:pt>
                <c:pt idx="1">
                  <c:v>201502</c:v>
                </c:pt>
                <c:pt idx="2">
                  <c:v>201503</c:v>
                </c:pt>
                <c:pt idx="3">
                  <c:v>201504</c:v>
                </c:pt>
                <c:pt idx="4">
                  <c:v>201505</c:v>
                </c:pt>
                <c:pt idx="5">
                  <c:v>201506</c:v>
                </c:pt>
                <c:pt idx="6">
                  <c:v>201507</c:v>
                </c:pt>
                <c:pt idx="7">
                  <c:v>201508</c:v>
                </c:pt>
                <c:pt idx="8">
                  <c:v>201509</c:v>
                </c:pt>
                <c:pt idx="9">
                  <c:v>201510</c:v>
                </c:pt>
                <c:pt idx="10">
                  <c:v>201511</c:v>
                </c:pt>
                <c:pt idx="11">
                  <c:v>201512</c:v>
                </c:pt>
                <c:pt idx="12">
                  <c:v>201601</c:v>
                </c:pt>
                <c:pt idx="13">
                  <c:v>201602</c:v>
                </c:pt>
                <c:pt idx="14">
                  <c:v>201603</c:v>
                </c:pt>
                <c:pt idx="15">
                  <c:v>201604</c:v>
                </c:pt>
                <c:pt idx="16">
                  <c:v>201605</c:v>
                </c:pt>
                <c:pt idx="17">
                  <c:v>201606</c:v>
                </c:pt>
                <c:pt idx="18">
                  <c:v>201607</c:v>
                </c:pt>
                <c:pt idx="19">
                  <c:v>201608</c:v>
                </c:pt>
                <c:pt idx="20">
                  <c:v>201609</c:v>
                </c:pt>
                <c:pt idx="21">
                  <c:v>201610</c:v>
                </c:pt>
                <c:pt idx="22">
                  <c:v>201611</c:v>
                </c:pt>
                <c:pt idx="23">
                  <c:v>201612</c:v>
                </c:pt>
                <c:pt idx="24">
                  <c:v>201701</c:v>
                </c:pt>
                <c:pt idx="25">
                  <c:v>201702</c:v>
                </c:pt>
                <c:pt idx="26">
                  <c:v>201703</c:v>
                </c:pt>
                <c:pt idx="27">
                  <c:v>201704</c:v>
                </c:pt>
                <c:pt idx="28">
                  <c:v>201705</c:v>
                </c:pt>
                <c:pt idx="29">
                  <c:v>201706</c:v>
                </c:pt>
                <c:pt idx="30">
                  <c:v>201707</c:v>
                </c:pt>
                <c:pt idx="31">
                  <c:v>201708</c:v>
                </c:pt>
                <c:pt idx="32">
                  <c:v>201709</c:v>
                </c:pt>
                <c:pt idx="33">
                  <c:v>201710</c:v>
                </c:pt>
                <c:pt idx="34">
                  <c:v>201711</c:v>
                </c:pt>
                <c:pt idx="35">
                  <c:v>201712</c:v>
                </c:pt>
                <c:pt idx="36">
                  <c:v>201801</c:v>
                </c:pt>
                <c:pt idx="37">
                  <c:v>201802</c:v>
                </c:pt>
                <c:pt idx="38">
                  <c:v>201803</c:v>
                </c:pt>
                <c:pt idx="39">
                  <c:v>201804</c:v>
                </c:pt>
                <c:pt idx="40">
                  <c:v>201805</c:v>
                </c:pt>
                <c:pt idx="41">
                  <c:v>201806</c:v>
                </c:pt>
                <c:pt idx="42">
                  <c:v>201807</c:v>
                </c:pt>
                <c:pt idx="43">
                  <c:v>201808</c:v>
                </c:pt>
                <c:pt idx="44">
                  <c:v>201809</c:v>
                </c:pt>
                <c:pt idx="45">
                  <c:v>201810</c:v>
                </c:pt>
                <c:pt idx="46">
                  <c:v>201811</c:v>
                </c:pt>
                <c:pt idx="47">
                  <c:v>201812</c:v>
                </c:pt>
                <c:pt idx="48">
                  <c:v>201901</c:v>
                </c:pt>
                <c:pt idx="49">
                  <c:v>201902</c:v>
                </c:pt>
                <c:pt idx="50">
                  <c:v>201903</c:v>
                </c:pt>
                <c:pt idx="51">
                  <c:v>201904</c:v>
                </c:pt>
                <c:pt idx="52">
                  <c:v>201905</c:v>
                </c:pt>
                <c:pt idx="53">
                  <c:v>201906</c:v>
                </c:pt>
                <c:pt idx="54">
                  <c:v>201907</c:v>
                </c:pt>
                <c:pt idx="55">
                  <c:v>201908</c:v>
                </c:pt>
                <c:pt idx="56">
                  <c:v>201909</c:v>
                </c:pt>
                <c:pt idx="57">
                  <c:v>201910</c:v>
                </c:pt>
                <c:pt idx="58">
                  <c:v>201911</c:v>
                </c:pt>
                <c:pt idx="59">
                  <c:v>201912</c:v>
                </c:pt>
                <c:pt idx="60">
                  <c:v>202001</c:v>
                </c:pt>
                <c:pt idx="61">
                  <c:v>202002</c:v>
                </c:pt>
                <c:pt idx="62">
                  <c:v>202003</c:v>
                </c:pt>
                <c:pt idx="63">
                  <c:v>202004</c:v>
                </c:pt>
                <c:pt idx="64">
                  <c:v>202005</c:v>
                </c:pt>
                <c:pt idx="65">
                  <c:v>202006</c:v>
                </c:pt>
                <c:pt idx="66">
                  <c:v>202007</c:v>
                </c:pt>
                <c:pt idx="67">
                  <c:v>202008</c:v>
                </c:pt>
                <c:pt idx="68">
                  <c:v>202009</c:v>
                </c:pt>
                <c:pt idx="69">
                  <c:v>202010</c:v>
                </c:pt>
                <c:pt idx="70">
                  <c:v>202011</c:v>
                </c:pt>
                <c:pt idx="71">
                  <c:v>202012</c:v>
                </c:pt>
                <c:pt idx="72">
                  <c:v>202101</c:v>
                </c:pt>
                <c:pt idx="73">
                  <c:v>202102</c:v>
                </c:pt>
                <c:pt idx="74">
                  <c:v>202103</c:v>
                </c:pt>
                <c:pt idx="75">
                  <c:v>202104</c:v>
                </c:pt>
                <c:pt idx="76">
                  <c:v>202105</c:v>
                </c:pt>
                <c:pt idx="77">
                  <c:v>202106</c:v>
                </c:pt>
                <c:pt idx="78">
                  <c:v>202107</c:v>
                </c:pt>
                <c:pt idx="79">
                  <c:v>202108</c:v>
                </c:pt>
                <c:pt idx="80">
                  <c:v>202109</c:v>
                </c:pt>
                <c:pt idx="81">
                  <c:v>202110</c:v>
                </c:pt>
                <c:pt idx="82">
                  <c:v>202111</c:v>
                </c:pt>
                <c:pt idx="83">
                  <c:v>202112</c:v>
                </c:pt>
                <c:pt idx="84">
                  <c:v>202201</c:v>
                </c:pt>
                <c:pt idx="85">
                  <c:v>202202</c:v>
                </c:pt>
                <c:pt idx="86">
                  <c:v>202203</c:v>
                </c:pt>
                <c:pt idx="87">
                  <c:v>202204</c:v>
                </c:pt>
                <c:pt idx="88">
                  <c:v>202205</c:v>
                </c:pt>
                <c:pt idx="89">
                  <c:v>202206</c:v>
                </c:pt>
                <c:pt idx="90">
                  <c:v>202207</c:v>
                </c:pt>
                <c:pt idx="91">
                  <c:v>202208</c:v>
                </c:pt>
                <c:pt idx="92">
                  <c:v>202209</c:v>
                </c:pt>
                <c:pt idx="93">
                  <c:v>202210</c:v>
                </c:pt>
                <c:pt idx="94">
                  <c:v>202211</c:v>
                </c:pt>
                <c:pt idx="95">
                  <c:v>202212</c:v>
                </c:pt>
                <c:pt idx="96">
                  <c:v>202301</c:v>
                </c:pt>
                <c:pt idx="97">
                  <c:v>202302</c:v>
                </c:pt>
                <c:pt idx="98">
                  <c:v>202303</c:v>
                </c:pt>
                <c:pt idx="99">
                  <c:v>202304</c:v>
                </c:pt>
                <c:pt idx="100">
                  <c:v>202305</c:v>
                </c:pt>
                <c:pt idx="101">
                  <c:v>202306</c:v>
                </c:pt>
                <c:pt idx="102">
                  <c:v>202307</c:v>
                </c:pt>
                <c:pt idx="103">
                  <c:v>202308</c:v>
                </c:pt>
                <c:pt idx="104">
                  <c:v>202309</c:v>
                </c:pt>
                <c:pt idx="105">
                  <c:v>202310</c:v>
                </c:pt>
                <c:pt idx="106">
                  <c:v>202311</c:v>
                </c:pt>
                <c:pt idx="107">
                  <c:v>202312</c:v>
                </c:pt>
                <c:pt idx="108">
                  <c:v>202401</c:v>
                </c:pt>
                <c:pt idx="109">
                  <c:v>202402</c:v>
                </c:pt>
                <c:pt idx="110">
                  <c:v>202403</c:v>
                </c:pt>
                <c:pt idx="111">
                  <c:v>202404</c:v>
                </c:pt>
                <c:pt idx="112">
                  <c:v>202405</c:v>
                </c:pt>
                <c:pt idx="113">
                  <c:v>202406</c:v>
                </c:pt>
                <c:pt idx="114">
                  <c:v>202407</c:v>
                </c:pt>
                <c:pt idx="115">
                  <c:v>202408</c:v>
                </c:pt>
                <c:pt idx="116">
                  <c:v>202409</c:v>
                </c:pt>
                <c:pt idx="117">
                  <c:v>202410</c:v>
                </c:pt>
                <c:pt idx="118">
                  <c:v>202411</c:v>
                </c:pt>
                <c:pt idx="119">
                  <c:v>202412</c:v>
                </c:pt>
                <c:pt idx="120">
                  <c:v>202501</c:v>
                </c:pt>
                <c:pt idx="121">
                  <c:v>202502</c:v>
                </c:pt>
                <c:pt idx="122">
                  <c:v>202503</c:v>
                </c:pt>
                <c:pt idx="123">
                  <c:v>202504</c:v>
                </c:pt>
                <c:pt idx="124">
                  <c:v>202505</c:v>
                </c:pt>
                <c:pt idx="125">
                  <c:v>202506</c:v>
                </c:pt>
                <c:pt idx="126">
                  <c:v>202507</c:v>
                </c:pt>
                <c:pt idx="127">
                  <c:v>202508</c:v>
                </c:pt>
                <c:pt idx="128">
                  <c:v>202509</c:v>
                </c:pt>
                <c:pt idx="129">
                  <c:v>202510</c:v>
                </c:pt>
                <c:pt idx="130">
                  <c:v>202511</c:v>
                </c:pt>
                <c:pt idx="131">
                  <c:v>202512</c:v>
                </c:pt>
                <c:pt idx="132">
                  <c:v>202601</c:v>
                </c:pt>
                <c:pt idx="133">
                  <c:v>202602</c:v>
                </c:pt>
                <c:pt idx="134">
                  <c:v>202603</c:v>
                </c:pt>
                <c:pt idx="135">
                  <c:v>202604</c:v>
                </c:pt>
                <c:pt idx="136">
                  <c:v>202605</c:v>
                </c:pt>
                <c:pt idx="137">
                  <c:v>202606</c:v>
                </c:pt>
                <c:pt idx="138">
                  <c:v>202607</c:v>
                </c:pt>
                <c:pt idx="139">
                  <c:v>202608</c:v>
                </c:pt>
                <c:pt idx="140">
                  <c:v>202609</c:v>
                </c:pt>
                <c:pt idx="141">
                  <c:v>202610</c:v>
                </c:pt>
                <c:pt idx="142">
                  <c:v>202611</c:v>
                </c:pt>
                <c:pt idx="143">
                  <c:v>202612</c:v>
                </c:pt>
              </c:numCache>
            </c:numRef>
          </c:cat>
          <c:val>
            <c:numRef>
              <c:f>Sheet7!$M$2:$M$145</c:f>
              <c:numCache>
                <c:formatCode>General</c:formatCode>
                <c:ptCount val="144"/>
                <c:pt idx="127">
                  <c:v>24954.16649852724</c:v>
                </c:pt>
                <c:pt idx="128">
                  <c:v>25176.26022936697</c:v>
                </c:pt>
                <c:pt idx="129">
                  <c:v>25455.478508078428</c:v>
                </c:pt>
                <c:pt idx="130">
                  <c:v>25251.472508078426</c:v>
                </c:pt>
                <c:pt idx="131">
                  <c:v>25559.033280141677</c:v>
                </c:pt>
                <c:pt idx="132">
                  <c:v>25790.402186802836</c:v>
                </c:pt>
                <c:pt idx="133">
                  <c:v>25551.147186802835</c:v>
                </c:pt>
                <c:pt idx="134">
                  <c:v>25698.417839500318</c:v>
                </c:pt>
                <c:pt idx="135">
                  <c:v>25917.575821217004</c:v>
                </c:pt>
                <c:pt idx="136">
                  <c:v>26194.068970778637</c:v>
                </c:pt>
                <c:pt idx="137">
                  <c:v>26392.808806175381</c:v>
                </c:pt>
                <c:pt idx="138">
                  <c:v>26667.980481029968</c:v>
                </c:pt>
                <c:pt idx="139">
                  <c:v>26912.659816999399</c:v>
                </c:pt>
                <c:pt idx="140">
                  <c:v>26603.636816999398</c:v>
                </c:pt>
                <c:pt idx="141">
                  <c:v>26656.515688959411</c:v>
                </c:pt>
                <c:pt idx="142">
                  <c:v>26844.508119837501</c:v>
                </c:pt>
                <c:pt idx="143">
                  <c:v>27158.886130133233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A3-46FC-9348-0B6CFE398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4394272"/>
        <c:axId val="1454411072"/>
      </c:lineChart>
      <c:catAx>
        <c:axId val="14543942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11072"/>
        <c:crosses val="autoZero"/>
        <c:auto val="1"/>
        <c:lblAlgn val="ctr"/>
        <c:lblOffset val="100"/>
        <c:noMultiLvlLbl val="0"/>
      </c:catAx>
      <c:valAx>
        <c:axId val="1454411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39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Sheet10!$M$1</c:f>
              <c:strCache>
                <c:ptCount val="1"/>
                <c:pt idx="0">
                  <c:v>Nifty 50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Sheet10!$L$2:$L$145</c:f>
              <c:numCache>
                <c:formatCode>General</c:formatCode>
                <c:ptCount val="144"/>
                <c:pt idx="0">
                  <c:v>201501</c:v>
                </c:pt>
                <c:pt idx="1">
                  <c:v>201502</c:v>
                </c:pt>
                <c:pt idx="2">
                  <c:v>201503</c:v>
                </c:pt>
                <c:pt idx="3">
                  <c:v>201504</c:v>
                </c:pt>
                <c:pt idx="4">
                  <c:v>201505</c:v>
                </c:pt>
                <c:pt idx="5">
                  <c:v>201506</c:v>
                </c:pt>
                <c:pt idx="6">
                  <c:v>201507</c:v>
                </c:pt>
                <c:pt idx="7">
                  <c:v>201508</c:v>
                </c:pt>
                <c:pt idx="8">
                  <c:v>201509</c:v>
                </c:pt>
                <c:pt idx="9">
                  <c:v>201510</c:v>
                </c:pt>
                <c:pt idx="10">
                  <c:v>201511</c:v>
                </c:pt>
                <c:pt idx="11">
                  <c:v>201512</c:v>
                </c:pt>
                <c:pt idx="12">
                  <c:v>201601</c:v>
                </c:pt>
                <c:pt idx="13">
                  <c:v>201602</c:v>
                </c:pt>
                <c:pt idx="14">
                  <c:v>201603</c:v>
                </c:pt>
                <c:pt idx="15">
                  <c:v>201604</c:v>
                </c:pt>
                <c:pt idx="16">
                  <c:v>201605</c:v>
                </c:pt>
                <c:pt idx="17">
                  <c:v>201606</c:v>
                </c:pt>
                <c:pt idx="18">
                  <c:v>201607</c:v>
                </c:pt>
                <c:pt idx="19">
                  <c:v>201608</c:v>
                </c:pt>
                <c:pt idx="20">
                  <c:v>201609</c:v>
                </c:pt>
                <c:pt idx="21">
                  <c:v>201610</c:v>
                </c:pt>
                <c:pt idx="22">
                  <c:v>201611</c:v>
                </c:pt>
                <c:pt idx="23">
                  <c:v>201612</c:v>
                </c:pt>
                <c:pt idx="24">
                  <c:v>201701</c:v>
                </c:pt>
                <c:pt idx="25">
                  <c:v>201702</c:v>
                </c:pt>
                <c:pt idx="26">
                  <c:v>201703</c:v>
                </c:pt>
                <c:pt idx="27">
                  <c:v>201704</c:v>
                </c:pt>
                <c:pt idx="28">
                  <c:v>201705</c:v>
                </c:pt>
                <c:pt idx="29">
                  <c:v>201706</c:v>
                </c:pt>
                <c:pt idx="30">
                  <c:v>201707</c:v>
                </c:pt>
                <c:pt idx="31">
                  <c:v>201708</c:v>
                </c:pt>
                <c:pt idx="32">
                  <c:v>201709</c:v>
                </c:pt>
                <c:pt idx="33">
                  <c:v>201710</c:v>
                </c:pt>
                <c:pt idx="34">
                  <c:v>201711</c:v>
                </c:pt>
                <c:pt idx="35">
                  <c:v>201712</c:v>
                </c:pt>
                <c:pt idx="36">
                  <c:v>201801</c:v>
                </c:pt>
                <c:pt idx="37">
                  <c:v>201802</c:v>
                </c:pt>
                <c:pt idx="38">
                  <c:v>201803</c:v>
                </c:pt>
                <c:pt idx="39">
                  <c:v>201804</c:v>
                </c:pt>
                <c:pt idx="40">
                  <c:v>201805</c:v>
                </c:pt>
                <c:pt idx="41">
                  <c:v>201806</c:v>
                </c:pt>
                <c:pt idx="42">
                  <c:v>201807</c:v>
                </c:pt>
                <c:pt idx="43">
                  <c:v>201808</c:v>
                </c:pt>
                <c:pt idx="44">
                  <c:v>201809</c:v>
                </c:pt>
                <c:pt idx="45">
                  <c:v>201810</c:v>
                </c:pt>
                <c:pt idx="46">
                  <c:v>201811</c:v>
                </c:pt>
                <c:pt idx="47">
                  <c:v>201812</c:v>
                </c:pt>
                <c:pt idx="48">
                  <c:v>201901</c:v>
                </c:pt>
                <c:pt idx="49">
                  <c:v>201902</c:v>
                </c:pt>
                <c:pt idx="50">
                  <c:v>201903</c:v>
                </c:pt>
                <c:pt idx="51">
                  <c:v>201904</c:v>
                </c:pt>
                <c:pt idx="52">
                  <c:v>201905</c:v>
                </c:pt>
                <c:pt idx="53">
                  <c:v>201906</c:v>
                </c:pt>
                <c:pt idx="54">
                  <c:v>201907</c:v>
                </c:pt>
                <c:pt idx="55">
                  <c:v>201908</c:v>
                </c:pt>
                <c:pt idx="56">
                  <c:v>201909</c:v>
                </c:pt>
                <c:pt idx="57">
                  <c:v>201910</c:v>
                </c:pt>
                <c:pt idx="58">
                  <c:v>201911</c:v>
                </c:pt>
                <c:pt idx="59">
                  <c:v>201912</c:v>
                </c:pt>
                <c:pt idx="60">
                  <c:v>202001</c:v>
                </c:pt>
                <c:pt idx="61">
                  <c:v>202002</c:v>
                </c:pt>
                <c:pt idx="62">
                  <c:v>202003</c:v>
                </c:pt>
                <c:pt idx="63">
                  <c:v>202004</c:v>
                </c:pt>
                <c:pt idx="64">
                  <c:v>202005</c:v>
                </c:pt>
                <c:pt idx="65">
                  <c:v>202006</c:v>
                </c:pt>
                <c:pt idx="66">
                  <c:v>202007</c:v>
                </c:pt>
                <c:pt idx="67">
                  <c:v>202008</c:v>
                </c:pt>
                <c:pt idx="68">
                  <c:v>202009</c:v>
                </c:pt>
                <c:pt idx="69">
                  <c:v>202010</c:v>
                </c:pt>
                <c:pt idx="70">
                  <c:v>202011</c:v>
                </c:pt>
                <c:pt idx="71">
                  <c:v>202012</c:v>
                </c:pt>
                <c:pt idx="72">
                  <c:v>202101</c:v>
                </c:pt>
                <c:pt idx="73">
                  <c:v>202102</c:v>
                </c:pt>
                <c:pt idx="74">
                  <c:v>202103</c:v>
                </c:pt>
                <c:pt idx="75">
                  <c:v>202104</c:v>
                </c:pt>
                <c:pt idx="76">
                  <c:v>202105</c:v>
                </c:pt>
                <c:pt idx="77">
                  <c:v>202106</c:v>
                </c:pt>
                <c:pt idx="78">
                  <c:v>202107</c:v>
                </c:pt>
                <c:pt idx="79">
                  <c:v>202108</c:v>
                </c:pt>
                <c:pt idx="80">
                  <c:v>202109</c:v>
                </c:pt>
                <c:pt idx="81">
                  <c:v>202110</c:v>
                </c:pt>
                <c:pt idx="82">
                  <c:v>202111</c:v>
                </c:pt>
                <c:pt idx="83">
                  <c:v>202112</c:v>
                </c:pt>
                <c:pt idx="84">
                  <c:v>202201</c:v>
                </c:pt>
                <c:pt idx="85">
                  <c:v>202202</c:v>
                </c:pt>
                <c:pt idx="86">
                  <c:v>202203</c:v>
                </c:pt>
                <c:pt idx="87">
                  <c:v>202204</c:v>
                </c:pt>
                <c:pt idx="88">
                  <c:v>202205</c:v>
                </c:pt>
                <c:pt idx="89">
                  <c:v>202206</c:v>
                </c:pt>
                <c:pt idx="90">
                  <c:v>202207</c:v>
                </c:pt>
                <c:pt idx="91">
                  <c:v>202208</c:v>
                </c:pt>
                <c:pt idx="92">
                  <c:v>202209</c:v>
                </c:pt>
                <c:pt idx="93">
                  <c:v>202210</c:v>
                </c:pt>
                <c:pt idx="94">
                  <c:v>202211</c:v>
                </c:pt>
                <c:pt idx="95">
                  <c:v>202212</c:v>
                </c:pt>
                <c:pt idx="96">
                  <c:v>202301</c:v>
                </c:pt>
                <c:pt idx="97">
                  <c:v>202302</c:v>
                </c:pt>
                <c:pt idx="98">
                  <c:v>202303</c:v>
                </c:pt>
                <c:pt idx="99">
                  <c:v>202304</c:v>
                </c:pt>
                <c:pt idx="100">
                  <c:v>202305</c:v>
                </c:pt>
                <c:pt idx="101">
                  <c:v>202306</c:v>
                </c:pt>
                <c:pt idx="102">
                  <c:v>202307</c:v>
                </c:pt>
                <c:pt idx="103">
                  <c:v>202308</c:v>
                </c:pt>
                <c:pt idx="104">
                  <c:v>202309</c:v>
                </c:pt>
                <c:pt idx="105">
                  <c:v>202310</c:v>
                </c:pt>
                <c:pt idx="106">
                  <c:v>202311</c:v>
                </c:pt>
                <c:pt idx="107">
                  <c:v>202312</c:v>
                </c:pt>
                <c:pt idx="108">
                  <c:v>202401</c:v>
                </c:pt>
                <c:pt idx="109">
                  <c:v>202402</c:v>
                </c:pt>
                <c:pt idx="110">
                  <c:v>202403</c:v>
                </c:pt>
                <c:pt idx="111">
                  <c:v>202404</c:v>
                </c:pt>
                <c:pt idx="112">
                  <c:v>202405</c:v>
                </c:pt>
                <c:pt idx="113">
                  <c:v>202406</c:v>
                </c:pt>
                <c:pt idx="114">
                  <c:v>202407</c:v>
                </c:pt>
                <c:pt idx="115">
                  <c:v>202408</c:v>
                </c:pt>
                <c:pt idx="116">
                  <c:v>202409</c:v>
                </c:pt>
                <c:pt idx="117">
                  <c:v>202410</c:v>
                </c:pt>
                <c:pt idx="118">
                  <c:v>202411</c:v>
                </c:pt>
                <c:pt idx="119">
                  <c:v>202412</c:v>
                </c:pt>
                <c:pt idx="120">
                  <c:v>202501</c:v>
                </c:pt>
                <c:pt idx="121">
                  <c:v>202502</c:v>
                </c:pt>
                <c:pt idx="122">
                  <c:v>202503</c:v>
                </c:pt>
                <c:pt idx="123">
                  <c:v>202504</c:v>
                </c:pt>
                <c:pt idx="124">
                  <c:v>202505</c:v>
                </c:pt>
                <c:pt idx="125">
                  <c:v>202506</c:v>
                </c:pt>
                <c:pt idx="126">
                  <c:v>202507</c:v>
                </c:pt>
                <c:pt idx="127">
                  <c:v>202508</c:v>
                </c:pt>
                <c:pt idx="128">
                  <c:v>202509</c:v>
                </c:pt>
                <c:pt idx="129">
                  <c:v>202510</c:v>
                </c:pt>
                <c:pt idx="130">
                  <c:v>202511</c:v>
                </c:pt>
                <c:pt idx="131">
                  <c:v>202512</c:v>
                </c:pt>
                <c:pt idx="132">
                  <c:v>202601</c:v>
                </c:pt>
                <c:pt idx="133">
                  <c:v>202602</c:v>
                </c:pt>
                <c:pt idx="134">
                  <c:v>202603</c:v>
                </c:pt>
                <c:pt idx="135">
                  <c:v>202604</c:v>
                </c:pt>
                <c:pt idx="136">
                  <c:v>202605</c:v>
                </c:pt>
                <c:pt idx="137">
                  <c:v>202606</c:v>
                </c:pt>
                <c:pt idx="138">
                  <c:v>202607</c:v>
                </c:pt>
                <c:pt idx="139">
                  <c:v>202608</c:v>
                </c:pt>
                <c:pt idx="140">
                  <c:v>202609</c:v>
                </c:pt>
                <c:pt idx="141">
                  <c:v>202610</c:v>
                </c:pt>
                <c:pt idx="142">
                  <c:v>202611</c:v>
                </c:pt>
                <c:pt idx="143">
                  <c:v>202612</c:v>
                </c:pt>
              </c:numCache>
            </c:numRef>
          </c:cat>
          <c:val>
            <c:numRef>
              <c:f>Sheet10!$M$2:$M$145</c:f>
              <c:numCache>
                <c:formatCode>General</c:formatCode>
                <c:ptCount val="144"/>
                <c:pt idx="0">
                  <c:v>8808.900390625</c:v>
                </c:pt>
                <c:pt idx="1">
                  <c:v>8901.85</c:v>
                </c:pt>
                <c:pt idx="2">
                  <c:v>8491</c:v>
                </c:pt>
                <c:pt idx="3">
                  <c:v>8181.5</c:v>
                </c:pt>
                <c:pt idx="4">
                  <c:v>8433.65</c:v>
                </c:pt>
                <c:pt idx="5">
                  <c:v>8368.5</c:v>
                </c:pt>
                <c:pt idx="6">
                  <c:v>8532.85</c:v>
                </c:pt>
                <c:pt idx="7">
                  <c:v>7971.3</c:v>
                </c:pt>
                <c:pt idx="8">
                  <c:v>7948.9</c:v>
                </c:pt>
                <c:pt idx="9">
                  <c:v>8065.8</c:v>
                </c:pt>
                <c:pt idx="10">
                  <c:v>7935.25</c:v>
                </c:pt>
                <c:pt idx="11">
                  <c:v>7946.35</c:v>
                </c:pt>
                <c:pt idx="12">
                  <c:v>7563.55</c:v>
                </c:pt>
                <c:pt idx="13">
                  <c:v>6987.05</c:v>
                </c:pt>
                <c:pt idx="14">
                  <c:v>7738.4</c:v>
                </c:pt>
                <c:pt idx="15">
                  <c:v>7849.7998046875</c:v>
                </c:pt>
                <c:pt idx="16">
                  <c:v>8160.10009765625</c:v>
                </c:pt>
                <c:pt idx="17">
                  <c:v>8287.75</c:v>
                </c:pt>
                <c:pt idx="18">
                  <c:v>8638.5</c:v>
                </c:pt>
                <c:pt idx="19">
                  <c:v>8786.2001953125</c:v>
                </c:pt>
                <c:pt idx="20">
                  <c:v>8611.150390625</c:v>
                </c:pt>
                <c:pt idx="21">
                  <c:v>8625.7001953125</c:v>
                </c:pt>
                <c:pt idx="22">
                  <c:v>8224.5</c:v>
                </c:pt>
                <c:pt idx="23">
                  <c:v>8185.7998046875</c:v>
                </c:pt>
                <c:pt idx="24">
                  <c:v>8561.2998046875</c:v>
                </c:pt>
                <c:pt idx="25">
                  <c:v>8879.599609375</c:v>
                </c:pt>
                <c:pt idx="26">
                  <c:v>9173.75</c:v>
                </c:pt>
                <c:pt idx="27">
                  <c:v>9304.0498046875</c:v>
                </c:pt>
                <c:pt idx="28">
                  <c:v>9621.25</c:v>
                </c:pt>
                <c:pt idx="29">
                  <c:v>9520.900390625</c:v>
                </c:pt>
                <c:pt idx="30">
                  <c:v>10077.099609375</c:v>
                </c:pt>
                <c:pt idx="31">
                  <c:v>9917.900390625</c:v>
                </c:pt>
                <c:pt idx="32">
                  <c:v>9788.599609375</c:v>
                </c:pt>
                <c:pt idx="33">
                  <c:v>10335.2998046875</c:v>
                </c:pt>
                <c:pt idx="34">
                  <c:v>10226.5498046875</c:v>
                </c:pt>
                <c:pt idx="35">
                  <c:v>10530.7001953125</c:v>
                </c:pt>
                <c:pt idx="36">
                  <c:v>11027.7001953125</c:v>
                </c:pt>
                <c:pt idx="37">
                  <c:v>10492.849609375</c:v>
                </c:pt>
                <c:pt idx="38">
                  <c:v>10113.7001953125</c:v>
                </c:pt>
                <c:pt idx="39">
                  <c:v>10739.349609375</c:v>
                </c:pt>
                <c:pt idx="40">
                  <c:v>10736.150390625</c:v>
                </c:pt>
                <c:pt idx="41">
                  <c:v>10714.2998046875</c:v>
                </c:pt>
                <c:pt idx="42">
                  <c:v>11356.5</c:v>
                </c:pt>
                <c:pt idx="43">
                  <c:v>11680.5</c:v>
                </c:pt>
                <c:pt idx="44">
                  <c:v>10930.4501953125</c:v>
                </c:pt>
                <c:pt idx="45">
                  <c:v>10386.599609375</c:v>
                </c:pt>
                <c:pt idx="46">
                  <c:v>10876.75</c:v>
                </c:pt>
                <c:pt idx="47">
                  <c:v>10862.5498046875</c:v>
                </c:pt>
                <c:pt idx="48">
                  <c:v>10830.9501953125</c:v>
                </c:pt>
                <c:pt idx="49">
                  <c:v>10792.5</c:v>
                </c:pt>
                <c:pt idx="50">
                  <c:v>11623.900390625</c:v>
                </c:pt>
                <c:pt idx="51">
                  <c:v>11748.150390625</c:v>
                </c:pt>
                <c:pt idx="52">
                  <c:v>11922.7998046875</c:v>
                </c:pt>
                <c:pt idx="53">
                  <c:v>11788.849609375</c:v>
                </c:pt>
                <c:pt idx="54">
                  <c:v>11118</c:v>
                </c:pt>
                <c:pt idx="55">
                  <c:v>11023.25</c:v>
                </c:pt>
                <c:pt idx="56">
                  <c:v>11474.4501953125</c:v>
                </c:pt>
                <c:pt idx="57">
                  <c:v>11877.4501953125</c:v>
                </c:pt>
                <c:pt idx="58">
                  <c:v>12056.0498046875</c:v>
                </c:pt>
                <c:pt idx="59">
                  <c:v>12168.4501953125</c:v>
                </c:pt>
                <c:pt idx="60">
                  <c:v>11962.099609375</c:v>
                </c:pt>
                <c:pt idx="61">
                  <c:v>11201.75</c:v>
                </c:pt>
                <c:pt idx="62">
                  <c:v>8597.75</c:v>
                </c:pt>
                <c:pt idx="63">
                  <c:v>9859.900390625</c:v>
                </c:pt>
                <c:pt idx="64">
                  <c:v>9580.2998046875</c:v>
                </c:pt>
                <c:pt idx="65">
                  <c:v>10302.099609375</c:v>
                </c:pt>
                <c:pt idx="66">
                  <c:v>11073.4501953125</c:v>
                </c:pt>
                <c:pt idx="67">
                  <c:v>11387.5</c:v>
                </c:pt>
                <c:pt idx="68">
                  <c:v>11247.5498046875</c:v>
                </c:pt>
                <c:pt idx="69">
                  <c:v>11642.4</c:v>
                </c:pt>
                <c:pt idx="70">
                  <c:v>12968.95</c:v>
                </c:pt>
                <c:pt idx="71">
                  <c:v>13981.75</c:v>
                </c:pt>
                <c:pt idx="72">
                  <c:v>13634.6</c:v>
                </c:pt>
                <c:pt idx="73">
                  <c:v>14529.15</c:v>
                </c:pt>
                <c:pt idx="74">
                  <c:v>14690.7</c:v>
                </c:pt>
                <c:pt idx="75">
                  <c:v>14631.1</c:v>
                </c:pt>
                <c:pt idx="76">
                  <c:v>15582.8</c:v>
                </c:pt>
                <c:pt idx="77">
                  <c:v>15721.5</c:v>
                </c:pt>
                <c:pt idx="78">
                  <c:v>15763.05</c:v>
                </c:pt>
                <c:pt idx="79">
                  <c:v>17132.2</c:v>
                </c:pt>
                <c:pt idx="80">
                  <c:v>17618.150000000001</c:v>
                </c:pt>
                <c:pt idx="81">
                  <c:v>17671.650000000001</c:v>
                </c:pt>
                <c:pt idx="82">
                  <c:v>16983.2</c:v>
                </c:pt>
                <c:pt idx="83">
                  <c:v>17354.05</c:v>
                </c:pt>
                <c:pt idx="84">
                  <c:v>17339.849999999999</c:v>
                </c:pt>
                <c:pt idx="85">
                  <c:v>16793.900000000001</c:v>
                </c:pt>
                <c:pt idx="86">
                  <c:v>17464.75</c:v>
                </c:pt>
                <c:pt idx="87">
                  <c:v>17102.55</c:v>
                </c:pt>
                <c:pt idx="88">
                  <c:v>16584.55</c:v>
                </c:pt>
                <c:pt idx="89">
                  <c:v>15780.25</c:v>
                </c:pt>
                <c:pt idx="90">
                  <c:v>17158.25</c:v>
                </c:pt>
                <c:pt idx="91">
                  <c:v>17759.3</c:v>
                </c:pt>
                <c:pt idx="92">
                  <c:v>17094.349999999999</c:v>
                </c:pt>
                <c:pt idx="93">
                  <c:v>18012.2</c:v>
                </c:pt>
                <c:pt idx="94">
                  <c:v>18758.349999999999</c:v>
                </c:pt>
                <c:pt idx="95">
                  <c:v>18105.3</c:v>
                </c:pt>
                <c:pt idx="96">
                  <c:v>17662.150000000001</c:v>
                </c:pt>
                <c:pt idx="97">
                  <c:v>17303.95</c:v>
                </c:pt>
                <c:pt idx="98">
                  <c:v>17359.75</c:v>
                </c:pt>
                <c:pt idx="99">
                  <c:v>18065</c:v>
                </c:pt>
                <c:pt idx="100">
                  <c:v>18534.400000000001</c:v>
                </c:pt>
                <c:pt idx="101">
                  <c:v>19189.05</c:v>
                </c:pt>
                <c:pt idx="102">
                  <c:v>19753.8</c:v>
                </c:pt>
                <c:pt idx="103">
                  <c:v>19253.8</c:v>
                </c:pt>
                <c:pt idx="104">
                  <c:v>19638.3</c:v>
                </c:pt>
                <c:pt idx="105">
                  <c:v>19079.599999999999</c:v>
                </c:pt>
                <c:pt idx="106">
                  <c:v>20133.150000000001</c:v>
                </c:pt>
                <c:pt idx="107">
                  <c:v>21731.4</c:v>
                </c:pt>
                <c:pt idx="108">
                  <c:v>21725.7</c:v>
                </c:pt>
                <c:pt idx="109">
                  <c:v>21982.799999999999</c:v>
                </c:pt>
                <c:pt idx="110">
                  <c:v>22326.9</c:v>
                </c:pt>
                <c:pt idx="111">
                  <c:v>22604.85</c:v>
                </c:pt>
                <c:pt idx="112">
                  <c:v>22530.7</c:v>
                </c:pt>
                <c:pt idx="113">
                  <c:v>24010.6</c:v>
                </c:pt>
                <c:pt idx="114">
                  <c:v>24951.15</c:v>
                </c:pt>
                <c:pt idx="115">
                  <c:v>25235.9</c:v>
                </c:pt>
                <c:pt idx="116">
                  <c:v>25810.85</c:v>
                </c:pt>
                <c:pt idx="117">
                  <c:v>24205.35</c:v>
                </c:pt>
                <c:pt idx="118">
                  <c:v>24131.1</c:v>
                </c:pt>
                <c:pt idx="119">
                  <c:v>23644.799999999999</c:v>
                </c:pt>
                <c:pt idx="120">
                  <c:v>23508.400000000001</c:v>
                </c:pt>
                <c:pt idx="121">
                  <c:v>22124.7</c:v>
                </c:pt>
                <c:pt idx="122">
                  <c:v>23519.35</c:v>
                </c:pt>
                <c:pt idx="123">
                  <c:v>24334.2</c:v>
                </c:pt>
                <c:pt idx="124">
                  <c:v>24750.7</c:v>
                </c:pt>
                <c:pt idx="125">
                  <c:v>25517.05</c:v>
                </c:pt>
                <c:pt idx="126">
                  <c:v>24768.35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12-4FBC-8A4B-9AE477B82CD2}"/>
            </c:ext>
          </c:extLst>
        </c:ser>
        <c:ser>
          <c:idx val="1"/>
          <c:order val="1"/>
          <c:tx>
            <c:strRef>
              <c:f>Sheet10!$N$1</c:f>
              <c:strCache>
                <c:ptCount val="1"/>
                <c:pt idx="0">
                  <c:v>Forecasted Value 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Sheet10!$L$2:$L$145</c:f>
              <c:numCache>
                <c:formatCode>General</c:formatCode>
                <c:ptCount val="144"/>
                <c:pt idx="0">
                  <c:v>201501</c:v>
                </c:pt>
                <c:pt idx="1">
                  <c:v>201502</c:v>
                </c:pt>
                <c:pt idx="2">
                  <c:v>201503</c:v>
                </c:pt>
                <c:pt idx="3">
                  <c:v>201504</c:v>
                </c:pt>
                <c:pt idx="4">
                  <c:v>201505</c:v>
                </c:pt>
                <c:pt idx="5">
                  <c:v>201506</c:v>
                </c:pt>
                <c:pt idx="6">
                  <c:v>201507</c:v>
                </c:pt>
                <c:pt idx="7">
                  <c:v>201508</c:v>
                </c:pt>
                <c:pt idx="8">
                  <c:v>201509</c:v>
                </c:pt>
                <c:pt idx="9">
                  <c:v>201510</c:v>
                </c:pt>
                <c:pt idx="10">
                  <c:v>201511</c:v>
                </c:pt>
                <c:pt idx="11">
                  <c:v>201512</c:v>
                </c:pt>
                <c:pt idx="12">
                  <c:v>201601</c:v>
                </c:pt>
                <c:pt idx="13">
                  <c:v>201602</c:v>
                </c:pt>
                <c:pt idx="14">
                  <c:v>201603</c:v>
                </c:pt>
                <c:pt idx="15">
                  <c:v>201604</c:v>
                </c:pt>
                <c:pt idx="16">
                  <c:v>201605</c:v>
                </c:pt>
                <c:pt idx="17">
                  <c:v>201606</c:v>
                </c:pt>
                <c:pt idx="18">
                  <c:v>201607</c:v>
                </c:pt>
                <c:pt idx="19">
                  <c:v>201608</c:v>
                </c:pt>
                <c:pt idx="20">
                  <c:v>201609</c:v>
                </c:pt>
                <c:pt idx="21">
                  <c:v>201610</c:v>
                </c:pt>
                <c:pt idx="22">
                  <c:v>201611</c:v>
                </c:pt>
                <c:pt idx="23">
                  <c:v>201612</c:v>
                </c:pt>
                <c:pt idx="24">
                  <c:v>201701</c:v>
                </c:pt>
                <c:pt idx="25">
                  <c:v>201702</c:v>
                </c:pt>
                <c:pt idx="26">
                  <c:v>201703</c:v>
                </c:pt>
                <c:pt idx="27">
                  <c:v>201704</c:v>
                </c:pt>
                <c:pt idx="28">
                  <c:v>201705</c:v>
                </c:pt>
                <c:pt idx="29">
                  <c:v>201706</c:v>
                </c:pt>
                <c:pt idx="30">
                  <c:v>201707</c:v>
                </c:pt>
                <c:pt idx="31">
                  <c:v>201708</c:v>
                </c:pt>
                <c:pt idx="32">
                  <c:v>201709</c:v>
                </c:pt>
                <c:pt idx="33">
                  <c:v>201710</c:v>
                </c:pt>
                <c:pt idx="34">
                  <c:v>201711</c:v>
                </c:pt>
                <c:pt idx="35">
                  <c:v>201712</c:v>
                </c:pt>
                <c:pt idx="36">
                  <c:v>201801</c:v>
                </c:pt>
                <c:pt idx="37">
                  <c:v>201802</c:v>
                </c:pt>
                <c:pt idx="38">
                  <c:v>201803</c:v>
                </c:pt>
                <c:pt idx="39">
                  <c:v>201804</c:v>
                </c:pt>
                <c:pt idx="40">
                  <c:v>201805</c:v>
                </c:pt>
                <c:pt idx="41">
                  <c:v>201806</c:v>
                </c:pt>
                <c:pt idx="42">
                  <c:v>201807</c:v>
                </c:pt>
                <c:pt idx="43">
                  <c:v>201808</c:v>
                </c:pt>
                <c:pt idx="44">
                  <c:v>201809</c:v>
                </c:pt>
                <c:pt idx="45">
                  <c:v>201810</c:v>
                </c:pt>
                <c:pt idx="46">
                  <c:v>201811</c:v>
                </c:pt>
                <c:pt idx="47">
                  <c:v>201812</c:v>
                </c:pt>
                <c:pt idx="48">
                  <c:v>201901</c:v>
                </c:pt>
                <c:pt idx="49">
                  <c:v>201902</c:v>
                </c:pt>
                <c:pt idx="50">
                  <c:v>201903</c:v>
                </c:pt>
                <c:pt idx="51">
                  <c:v>201904</c:v>
                </c:pt>
                <c:pt idx="52">
                  <c:v>201905</c:v>
                </c:pt>
                <c:pt idx="53">
                  <c:v>201906</c:v>
                </c:pt>
                <c:pt idx="54">
                  <c:v>201907</c:v>
                </c:pt>
                <c:pt idx="55">
                  <c:v>201908</c:v>
                </c:pt>
                <c:pt idx="56">
                  <c:v>201909</c:v>
                </c:pt>
                <c:pt idx="57">
                  <c:v>201910</c:v>
                </c:pt>
                <c:pt idx="58">
                  <c:v>201911</c:v>
                </c:pt>
                <c:pt idx="59">
                  <c:v>201912</c:v>
                </c:pt>
                <c:pt idx="60">
                  <c:v>202001</c:v>
                </c:pt>
                <c:pt idx="61">
                  <c:v>202002</c:v>
                </c:pt>
                <c:pt idx="62">
                  <c:v>202003</c:v>
                </c:pt>
                <c:pt idx="63">
                  <c:v>202004</c:v>
                </c:pt>
                <c:pt idx="64">
                  <c:v>202005</c:v>
                </c:pt>
                <c:pt idx="65">
                  <c:v>202006</c:v>
                </c:pt>
                <c:pt idx="66">
                  <c:v>202007</c:v>
                </c:pt>
                <c:pt idx="67">
                  <c:v>202008</c:v>
                </c:pt>
                <c:pt idx="68">
                  <c:v>202009</c:v>
                </c:pt>
                <c:pt idx="69">
                  <c:v>202010</c:v>
                </c:pt>
                <c:pt idx="70">
                  <c:v>202011</c:v>
                </c:pt>
                <c:pt idx="71">
                  <c:v>202012</c:v>
                </c:pt>
                <c:pt idx="72">
                  <c:v>202101</c:v>
                </c:pt>
                <c:pt idx="73">
                  <c:v>202102</c:v>
                </c:pt>
                <c:pt idx="74">
                  <c:v>202103</c:v>
                </c:pt>
                <c:pt idx="75">
                  <c:v>202104</c:v>
                </c:pt>
                <c:pt idx="76">
                  <c:v>202105</c:v>
                </c:pt>
                <c:pt idx="77">
                  <c:v>202106</c:v>
                </c:pt>
                <c:pt idx="78">
                  <c:v>202107</c:v>
                </c:pt>
                <c:pt idx="79">
                  <c:v>202108</c:v>
                </c:pt>
                <c:pt idx="80">
                  <c:v>202109</c:v>
                </c:pt>
                <c:pt idx="81">
                  <c:v>202110</c:v>
                </c:pt>
                <c:pt idx="82">
                  <c:v>202111</c:v>
                </c:pt>
                <c:pt idx="83">
                  <c:v>202112</c:v>
                </c:pt>
                <c:pt idx="84">
                  <c:v>202201</c:v>
                </c:pt>
                <c:pt idx="85">
                  <c:v>202202</c:v>
                </c:pt>
                <c:pt idx="86">
                  <c:v>202203</c:v>
                </c:pt>
                <c:pt idx="87">
                  <c:v>202204</c:v>
                </c:pt>
                <c:pt idx="88">
                  <c:v>202205</c:v>
                </c:pt>
                <c:pt idx="89">
                  <c:v>202206</c:v>
                </c:pt>
                <c:pt idx="90">
                  <c:v>202207</c:v>
                </c:pt>
                <c:pt idx="91">
                  <c:v>202208</c:v>
                </c:pt>
                <c:pt idx="92">
                  <c:v>202209</c:v>
                </c:pt>
                <c:pt idx="93">
                  <c:v>202210</c:v>
                </c:pt>
                <c:pt idx="94">
                  <c:v>202211</c:v>
                </c:pt>
                <c:pt idx="95">
                  <c:v>202212</c:v>
                </c:pt>
                <c:pt idx="96">
                  <c:v>202301</c:v>
                </c:pt>
                <c:pt idx="97">
                  <c:v>202302</c:v>
                </c:pt>
                <c:pt idx="98">
                  <c:v>202303</c:v>
                </c:pt>
                <c:pt idx="99">
                  <c:v>202304</c:v>
                </c:pt>
                <c:pt idx="100">
                  <c:v>202305</c:v>
                </c:pt>
                <c:pt idx="101">
                  <c:v>202306</c:v>
                </c:pt>
                <c:pt idx="102">
                  <c:v>202307</c:v>
                </c:pt>
                <c:pt idx="103">
                  <c:v>202308</c:v>
                </c:pt>
                <c:pt idx="104">
                  <c:v>202309</c:v>
                </c:pt>
                <c:pt idx="105">
                  <c:v>202310</c:v>
                </c:pt>
                <c:pt idx="106">
                  <c:v>202311</c:v>
                </c:pt>
                <c:pt idx="107">
                  <c:v>202312</c:v>
                </c:pt>
                <c:pt idx="108">
                  <c:v>202401</c:v>
                </c:pt>
                <c:pt idx="109">
                  <c:v>202402</c:v>
                </c:pt>
                <c:pt idx="110">
                  <c:v>202403</c:v>
                </c:pt>
                <c:pt idx="111">
                  <c:v>202404</c:v>
                </c:pt>
                <c:pt idx="112">
                  <c:v>202405</c:v>
                </c:pt>
                <c:pt idx="113">
                  <c:v>202406</c:v>
                </c:pt>
                <c:pt idx="114">
                  <c:v>202407</c:v>
                </c:pt>
                <c:pt idx="115">
                  <c:v>202408</c:v>
                </c:pt>
                <c:pt idx="116">
                  <c:v>202409</c:v>
                </c:pt>
                <c:pt idx="117">
                  <c:v>202410</c:v>
                </c:pt>
                <c:pt idx="118">
                  <c:v>202411</c:v>
                </c:pt>
                <c:pt idx="119">
                  <c:v>202412</c:v>
                </c:pt>
                <c:pt idx="120">
                  <c:v>202501</c:v>
                </c:pt>
                <c:pt idx="121">
                  <c:v>202502</c:v>
                </c:pt>
                <c:pt idx="122">
                  <c:v>202503</c:v>
                </c:pt>
                <c:pt idx="123">
                  <c:v>202504</c:v>
                </c:pt>
                <c:pt idx="124">
                  <c:v>202505</c:v>
                </c:pt>
                <c:pt idx="125">
                  <c:v>202506</c:v>
                </c:pt>
                <c:pt idx="126">
                  <c:v>202507</c:v>
                </c:pt>
                <c:pt idx="127">
                  <c:v>202508</c:v>
                </c:pt>
                <c:pt idx="128">
                  <c:v>202509</c:v>
                </c:pt>
                <c:pt idx="129">
                  <c:v>202510</c:v>
                </c:pt>
                <c:pt idx="130">
                  <c:v>202511</c:v>
                </c:pt>
                <c:pt idx="131">
                  <c:v>202512</c:v>
                </c:pt>
                <c:pt idx="132">
                  <c:v>202601</c:v>
                </c:pt>
                <c:pt idx="133">
                  <c:v>202602</c:v>
                </c:pt>
                <c:pt idx="134">
                  <c:v>202603</c:v>
                </c:pt>
                <c:pt idx="135">
                  <c:v>202604</c:v>
                </c:pt>
                <c:pt idx="136">
                  <c:v>202605</c:v>
                </c:pt>
                <c:pt idx="137">
                  <c:v>202606</c:v>
                </c:pt>
                <c:pt idx="138">
                  <c:v>202607</c:v>
                </c:pt>
                <c:pt idx="139">
                  <c:v>202608</c:v>
                </c:pt>
                <c:pt idx="140">
                  <c:v>202609</c:v>
                </c:pt>
                <c:pt idx="141">
                  <c:v>202610</c:v>
                </c:pt>
                <c:pt idx="142">
                  <c:v>202611</c:v>
                </c:pt>
                <c:pt idx="143">
                  <c:v>202612</c:v>
                </c:pt>
              </c:numCache>
            </c:numRef>
          </c:cat>
          <c:val>
            <c:numRef>
              <c:f>Sheet10!$N$2:$N$145</c:f>
              <c:numCache>
                <c:formatCode>General</c:formatCode>
                <c:ptCount val="144"/>
                <c:pt idx="127">
                  <c:v>24905.782363313519</c:v>
                </c:pt>
                <c:pt idx="128">
                  <c:v>25088.927155728732</c:v>
                </c:pt>
                <c:pt idx="129">
                  <c:v>25242.947047002337</c:v>
                </c:pt>
                <c:pt idx="130">
                  <c:v>25401.369038546643</c:v>
                </c:pt>
                <c:pt idx="131">
                  <c:v>25586.54787195423</c:v>
                </c:pt>
                <c:pt idx="132">
                  <c:v>25764.521786915098</c:v>
                </c:pt>
                <c:pt idx="133">
                  <c:v>25915.295705967535</c:v>
                </c:pt>
                <c:pt idx="134">
                  <c:v>26113.930908345887</c:v>
                </c:pt>
                <c:pt idx="135">
                  <c:v>26281.982151884877</c:v>
                </c:pt>
                <c:pt idx="136">
                  <c:v>26447.865749086333</c:v>
                </c:pt>
                <c:pt idx="137">
                  <c:v>26644.708539852381</c:v>
                </c:pt>
                <c:pt idx="138">
                  <c:v>26786.042470679913</c:v>
                </c:pt>
                <c:pt idx="139">
                  <c:v>26943.762886490313</c:v>
                </c:pt>
                <c:pt idx="140">
                  <c:v>27154.755203354827</c:v>
                </c:pt>
                <c:pt idx="141">
                  <c:v>27294.642905210407</c:v>
                </c:pt>
                <c:pt idx="142">
                  <c:v>27467.93424562586</c:v>
                </c:pt>
                <c:pt idx="143">
                  <c:v>27641.527888624394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12-4FBC-8A4B-9AE477B82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3668880"/>
        <c:axId val="1963686160"/>
      </c:lineChart>
      <c:catAx>
        <c:axId val="1963668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686160"/>
        <c:crosses val="autoZero"/>
        <c:auto val="1"/>
        <c:lblAlgn val="ctr"/>
        <c:lblOffset val="100"/>
        <c:noMultiLvlLbl val="0"/>
      </c:catAx>
      <c:valAx>
        <c:axId val="19636861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66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Sheet11!$M$1</c:f>
              <c:strCache>
                <c:ptCount val="1"/>
                <c:pt idx="0">
                  <c:v>Nifty 50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Sheet11!$L$2:$L$145</c:f>
              <c:numCache>
                <c:formatCode>General</c:formatCode>
                <c:ptCount val="144"/>
                <c:pt idx="0">
                  <c:v>201501</c:v>
                </c:pt>
                <c:pt idx="1">
                  <c:v>201502</c:v>
                </c:pt>
                <c:pt idx="2">
                  <c:v>201503</c:v>
                </c:pt>
                <c:pt idx="3">
                  <c:v>201504</c:v>
                </c:pt>
                <c:pt idx="4">
                  <c:v>201505</c:v>
                </c:pt>
                <c:pt idx="5">
                  <c:v>201506</c:v>
                </c:pt>
                <c:pt idx="6">
                  <c:v>201507</c:v>
                </c:pt>
                <c:pt idx="7">
                  <c:v>201508</c:v>
                </c:pt>
                <c:pt idx="8">
                  <c:v>201509</c:v>
                </c:pt>
                <c:pt idx="9">
                  <c:v>201510</c:v>
                </c:pt>
                <c:pt idx="10">
                  <c:v>201511</c:v>
                </c:pt>
                <c:pt idx="11">
                  <c:v>201512</c:v>
                </c:pt>
                <c:pt idx="12">
                  <c:v>201601</c:v>
                </c:pt>
                <c:pt idx="13">
                  <c:v>201602</c:v>
                </c:pt>
                <c:pt idx="14">
                  <c:v>201603</c:v>
                </c:pt>
                <c:pt idx="15">
                  <c:v>201604</c:v>
                </c:pt>
                <c:pt idx="16">
                  <c:v>201605</c:v>
                </c:pt>
                <c:pt idx="17">
                  <c:v>201606</c:v>
                </c:pt>
                <c:pt idx="18">
                  <c:v>201607</c:v>
                </c:pt>
                <c:pt idx="19">
                  <c:v>201608</c:v>
                </c:pt>
                <c:pt idx="20">
                  <c:v>201609</c:v>
                </c:pt>
                <c:pt idx="21">
                  <c:v>201610</c:v>
                </c:pt>
                <c:pt idx="22">
                  <c:v>201611</c:v>
                </c:pt>
                <c:pt idx="23">
                  <c:v>201612</c:v>
                </c:pt>
                <c:pt idx="24">
                  <c:v>201701</c:v>
                </c:pt>
                <c:pt idx="25">
                  <c:v>201702</c:v>
                </c:pt>
                <c:pt idx="26">
                  <c:v>201703</c:v>
                </c:pt>
                <c:pt idx="27">
                  <c:v>201704</c:v>
                </c:pt>
                <c:pt idx="28">
                  <c:v>201705</c:v>
                </c:pt>
                <c:pt idx="29">
                  <c:v>201706</c:v>
                </c:pt>
                <c:pt idx="30">
                  <c:v>201707</c:v>
                </c:pt>
                <c:pt idx="31">
                  <c:v>201708</c:v>
                </c:pt>
                <c:pt idx="32">
                  <c:v>201709</c:v>
                </c:pt>
                <c:pt idx="33">
                  <c:v>201710</c:v>
                </c:pt>
                <c:pt idx="34">
                  <c:v>201711</c:v>
                </c:pt>
                <c:pt idx="35">
                  <c:v>201712</c:v>
                </c:pt>
                <c:pt idx="36">
                  <c:v>201801</c:v>
                </c:pt>
                <c:pt idx="37">
                  <c:v>201802</c:v>
                </c:pt>
                <c:pt idx="38">
                  <c:v>201803</c:v>
                </c:pt>
                <c:pt idx="39">
                  <c:v>201804</c:v>
                </c:pt>
                <c:pt idx="40">
                  <c:v>201805</c:v>
                </c:pt>
                <c:pt idx="41">
                  <c:v>201806</c:v>
                </c:pt>
                <c:pt idx="42">
                  <c:v>201807</c:v>
                </c:pt>
                <c:pt idx="43">
                  <c:v>201808</c:v>
                </c:pt>
                <c:pt idx="44">
                  <c:v>201809</c:v>
                </c:pt>
                <c:pt idx="45">
                  <c:v>201810</c:v>
                </c:pt>
                <c:pt idx="46">
                  <c:v>201811</c:v>
                </c:pt>
                <c:pt idx="47">
                  <c:v>201812</c:v>
                </c:pt>
                <c:pt idx="48">
                  <c:v>201901</c:v>
                </c:pt>
                <c:pt idx="49">
                  <c:v>201902</c:v>
                </c:pt>
                <c:pt idx="50">
                  <c:v>201903</c:v>
                </c:pt>
                <c:pt idx="51">
                  <c:v>201904</c:v>
                </c:pt>
                <c:pt idx="52">
                  <c:v>201905</c:v>
                </c:pt>
                <c:pt idx="53">
                  <c:v>201906</c:v>
                </c:pt>
                <c:pt idx="54">
                  <c:v>201907</c:v>
                </c:pt>
                <c:pt idx="55">
                  <c:v>201908</c:v>
                </c:pt>
                <c:pt idx="56">
                  <c:v>201909</c:v>
                </c:pt>
                <c:pt idx="57">
                  <c:v>201910</c:v>
                </c:pt>
                <c:pt idx="58">
                  <c:v>201911</c:v>
                </c:pt>
                <c:pt idx="59">
                  <c:v>201912</c:v>
                </c:pt>
                <c:pt idx="60">
                  <c:v>202001</c:v>
                </c:pt>
                <c:pt idx="61">
                  <c:v>202002</c:v>
                </c:pt>
                <c:pt idx="62">
                  <c:v>202003</c:v>
                </c:pt>
                <c:pt idx="63">
                  <c:v>202004</c:v>
                </c:pt>
                <c:pt idx="64">
                  <c:v>202005</c:v>
                </c:pt>
                <c:pt idx="65">
                  <c:v>202006</c:v>
                </c:pt>
                <c:pt idx="66">
                  <c:v>202007</c:v>
                </c:pt>
                <c:pt idx="67">
                  <c:v>202008</c:v>
                </c:pt>
                <c:pt idx="68">
                  <c:v>202009</c:v>
                </c:pt>
                <c:pt idx="69">
                  <c:v>202010</c:v>
                </c:pt>
                <c:pt idx="70">
                  <c:v>202011</c:v>
                </c:pt>
                <c:pt idx="71">
                  <c:v>202012</c:v>
                </c:pt>
                <c:pt idx="72">
                  <c:v>202101</c:v>
                </c:pt>
                <c:pt idx="73">
                  <c:v>202102</c:v>
                </c:pt>
                <c:pt idx="74">
                  <c:v>202103</c:v>
                </c:pt>
                <c:pt idx="75">
                  <c:v>202104</c:v>
                </c:pt>
                <c:pt idx="76">
                  <c:v>202105</c:v>
                </c:pt>
                <c:pt idx="77">
                  <c:v>202106</c:v>
                </c:pt>
                <c:pt idx="78">
                  <c:v>202107</c:v>
                </c:pt>
                <c:pt idx="79">
                  <c:v>202108</c:v>
                </c:pt>
                <c:pt idx="80">
                  <c:v>202109</c:v>
                </c:pt>
                <c:pt idx="81">
                  <c:v>202110</c:v>
                </c:pt>
                <c:pt idx="82">
                  <c:v>202111</c:v>
                </c:pt>
                <c:pt idx="83">
                  <c:v>202112</c:v>
                </c:pt>
                <c:pt idx="84">
                  <c:v>202201</c:v>
                </c:pt>
                <c:pt idx="85">
                  <c:v>202202</c:v>
                </c:pt>
                <c:pt idx="86">
                  <c:v>202203</c:v>
                </c:pt>
                <c:pt idx="87">
                  <c:v>202204</c:v>
                </c:pt>
                <c:pt idx="88">
                  <c:v>202205</c:v>
                </c:pt>
                <c:pt idx="89">
                  <c:v>202206</c:v>
                </c:pt>
                <c:pt idx="90">
                  <c:v>202207</c:v>
                </c:pt>
                <c:pt idx="91">
                  <c:v>202208</c:v>
                </c:pt>
                <c:pt idx="92">
                  <c:v>202209</c:v>
                </c:pt>
                <c:pt idx="93">
                  <c:v>202210</c:v>
                </c:pt>
                <c:pt idx="94">
                  <c:v>202211</c:v>
                </c:pt>
                <c:pt idx="95">
                  <c:v>202212</c:v>
                </c:pt>
                <c:pt idx="96">
                  <c:v>202301</c:v>
                </c:pt>
                <c:pt idx="97">
                  <c:v>202302</c:v>
                </c:pt>
                <c:pt idx="98">
                  <c:v>202303</c:v>
                </c:pt>
                <c:pt idx="99">
                  <c:v>202304</c:v>
                </c:pt>
                <c:pt idx="100">
                  <c:v>202305</c:v>
                </c:pt>
                <c:pt idx="101">
                  <c:v>202306</c:v>
                </c:pt>
                <c:pt idx="102">
                  <c:v>202307</c:v>
                </c:pt>
                <c:pt idx="103">
                  <c:v>202308</c:v>
                </c:pt>
                <c:pt idx="104">
                  <c:v>202309</c:v>
                </c:pt>
                <c:pt idx="105">
                  <c:v>202310</c:v>
                </c:pt>
                <c:pt idx="106">
                  <c:v>202311</c:v>
                </c:pt>
                <c:pt idx="107">
                  <c:v>202312</c:v>
                </c:pt>
                <c:pt idx="108">
                  <c:v>202401</c:v>
                </c:pt>
                <c:pt idx="109">
                  <c:v>202402</c:v>
                </c:pt>
                <c:pt idx="110">
                  <c:v>202403</c:v>
                </c:pt>
                <c:pt idx="111">
                  <c:v>202404</c:v>
                </c:pt>
                <c:pt idx="112">
                  <c:v>202405</c:v>
                </c:pt>
                <c:pt idx="113">
                  <c:v>202406</c:v>
                </c:pt>
                <c:pt idx="114">
                  <c:v>202407</c:v>
                </c:pt>
                <c:pt idx="115">
                  <c:v>202408</c:v>
                </c:pt>
                <c:pt idx="116">
                  <c:v>202409</c:v>
                </c:pt>
                <c:pt idx="117">
                  <c:v>202410</c:v>
                </c:pt>
                <c:pt idx="118">
                  <c:v>202411</c:v>
                </c:pt>
                <c:pt idx="119">
                  <c:v>202412</c:v>
                </c:pt>
                <c:pt idx="120">
                  <c:v>202501</c:v>
                </c:pt>
                <c:pt idx="121">
                  <c:v>202502</c:v>
                </c:pt>
                <c:pt idx="122">
                  <c:v>202503</c:v>
                </c:pt>
                <c:pt idx="123">
                  <c:v>202504</c:v>
                </c:pt>
                <c:pt idx="124">
                  <c:v>202505</c:v>
                </c:pt>
                <c:pt idx="125">
                  <c:v>202506</c:v>
                </c:pt>
                <c:pt idx="126">
                  <c:v>202507</c:v>
                </c:pt>
                <c:pt idx="127">
                  <c:v>202508</c:v>
                </c:pt>
                <c:pt idx="128">
                  <c:v>202509</c:v>
                </c:pt>
                <c:pt idx="129">
                  <c:v>202510</c:v>
                </c:pt>
                <c:pt idx="130">
                  <c:v>202511</c:v>
                </c:pt>
                <c:pt idx="131">
                  <c:v>202512</c:v>
                </c:pt>
                <c:pt idx="132">
                  <c:v>202601</c:v>
                </c:pt>
                <c:pt idx="133">
                  <c:v>202602</c:v>
                </c:pt>
                <c:pt idx="134">
                  <c:v>202603</c:v>
                </c:pt>
                <c:pt idx="135">
                  <c:v>202604</c:v>
                </c:pt>
                <c:pt idx="136">
                  <c:v>202605</c:v>
                </c:pt>
                <c:pt idx="137">
                  <c:v>202606</c:v>
                </c:pt>
                <c:pt idx="138">
                  <c:v>202607</c:v>
                </c:pt>
                <c:pt idx="139">
                  <c:v>202608</c:v>
                </c:pt>
                <c:pt idx="140">
                  <c:v>202609</c:v>
                </c:pt>
                <c:pt idx="141">
                  <c:v>202610</c:v>
                </c:pt>
                <c:pt idx="142">
                  <c:v>202611</c:v>
                </c:pt>
                <c:pt idx="143">
                  <c:v>202612</c:v>
                </c:pt>
              </c:numCache>
            </c:numRef>
          </c:cat>
          <c:val>
            <c:numRef>
              <c:f>Sheet11!$M$2:$M$145</c:f>
              <c:numCache>
                <c:formatCode>General</c:formatCode>
                <c:ptCount val="144"/>
                <c:pt idx="0">
                  <c:v>8808.900390625</c:v>
                </c:pt>
                <c:pt idx="1">
                  <c:v>8901.85</c:v>
                </c:pt>
                <c:pt idx="2">
                  <c:v>8491</c:v>
                </c:pt>
                <c:pt idx="3">
                  <c:v>8181.5</c:v>
                </c:pt>
                <c:pt idx="4">
                  <c:v>8433.65</c:v>
                </c:pt>
                <c:pt idx="5">
                  <c:v>8368.5</c:v>
                </c:pt>
                <c:pt idx="6">
                  <c:v>8532.85</c:v>
                </c:pt>
                <c:pt idx="7">
                  <c:v>7971.3</c:v>
                </c:pt>
                <c:pt idx="8">
                  <c:v>7948.9</c:v>
                </c:pt>
                <c:pt idx="9">
                  <c:v>8065.8</c:v>
                </c:pt>
                <c:pt idx="10">
                  <c:v>7935.25</c:v>
                </c:pt>
                <c:pt idx="11">
                  <c:v>7946.35</c:v>
                </c:pt>
                <c:pt idx="12">
                  <c:v>7563.55</c:v>
                </c:pt>
                <c:pt idx="13">
                  <c:v>6987.05</c:v>
                </c:pt>
                <c:pt idx="14">
                  <c:v>7738.4</c:v>
                </c:pt>
                <c:pt idx="15">
                  <c:v>7849.7998046875</c:v>
                </c:pt>
                <c:pt idx="16">
                  <c:v>8160.10009765625</c:v>
                </c:pt>
                <c:pt idx="17">
                  <c:v>8287.75</c:v>
                </c:pt>
                <c:pt idx="18">
                  <c:v>8638.5</c:v>
                </c:pt>
                <c:pt idx="19">
                  <c:v>8786.2001953125</c:v>
                </c:pt>
                <c:pt idx="20">
                  <c:v>8611.150390625</c:v>
                </c:pt>
                <c:pt idx="21">
                  <c:v>8625.7001953125</c:v>
                </c:pt>
                <c:pt idx="22">
                  <c:v>8224.5</c:v>
                </c:pt>
                <c:pt idx="23">
                  <c:v>8185.7998046875</c:v>
                </c:pt>
                <c:pt idx="24">
                  <c:v>8561.2998046875</c:v>
                </c:pt>
                <c:pt idx="25">
                  <c:v>8879.599609375</c:v>
                </c:pt>
                <c:pt idx="26">
                  <c:v>9173.75</c:v>
                </c:pt>
                <c:pt idx="27">
                  <c:v>9304.0498046875</c:v>
                </c:pt>
                <c:pt idx="28">
                  <c:v>9621.25</c:v>
                </c:pt>
                <c:pt idx="29">
                  <c:v>9520.900390625</c:v>
                </c:pt>
                <c:pt idx="30">
                  <c:v>10077.099609375</c:v>
                </c:pt>
                <c:pt idx="31">
                  <c:v>9917.900390625</c:v>
                </c:pt>
                <c:pt idx="32">
                  <c:v>9788.599609375</c:v>
                </c:pt>
                <c:pt idx="33">
                  <c:v>10335.2998046875</c:v>
                </c:pt>
                <c:pt idx="34">
                  <c:v>10226.5498046875</c:v>
                </c:pt>
                <c:pt idx="35">
                  <c:v>10530.7001953125</c:v>
                </c:pt>
                <c:pt idx="36">
                  <c:v>11027.7001953125</c:v>
                </c:pt>
                <c:pt idx="37">
                  <c:v>10492.849609375</c:v>
                </c:pt>
                <c:pt idx="38">
                  <c:v>10113.7001953125</c:v>
                </c:pt>
                <c:pt idx="39">
                  <c:v>10739.349609375</c:v>
                </c:pt>
                <c:pt idx="40">
                  <c:v>10736.150390625</c:v>
                </c:pt>
                <c:pt idx="41">
                  <c:v>10714.2998046875</c:v>
                </c:pt>
                <c:pt idx="42">
                  <c:v>11356.5</c:v>
                </c:pt>
                <c:pt idx="43">
                  <c:v>11680.5</c:v>
                </c:pt>
                <c:pt idx="44">
                  <c:v>10930.4501953125</c:v>
                </c:pt>
                <c:pt idx="45">
                  <c:v>10386.599609375</c:v>
                </c:pt>
                <c:pt idx="46">
                  <c:v>10876.75</c:v>
                </c:pt>
                <c:pt idx="47">
                  <c:v>10862.5498046875</c:v>
                </c:pt>
                <c:pt idx="48">
                  <c:v>10830.9501953125</c:v>
                </c:pt>
                <c:pt idx="49">
                  <c:v>10792.5</c:v>
                </c:pt>
                <c:pt idx="50">
                  <c:v>11623.900390625</c:v>
                </c:pt>
                <c:pt idx="51">
                  <c:v>11748.150390625</c:v>
                </c:pt>
                <c:pt idx="52">
                  <c:v>11922.7998046875</c:v>
                </c:pt>
                <c:pt idx="53">
                  <c:v>11788.849609375</c:v>
                </c:pt>
                <c:pt idx="54">
                  <c:v>11118</c:v>
                </c:pt>
                <c:pt idx="55">
                  <c:v>11023.25</c:v>
                </c:pt>
                <c:pt idx="56">
                  <c:v>11474.4501953125</c:v>
                </c:pt>
                <c:pt idx="57">
                  <c:v>11877.4501953125</c:v>
                </c:pt>
                <c:pt idx="58">
                  <c:v>12056.0498046875</c:v>
                </c:pt>
                <c:pt idx="59">
                  <c:v>12168.4501953125</c:v>
                </c:pt>
                <c:pt idx="60">
                  <c:v>11962.099609375</c:v>
                </c:pt>
                <c:pt idx="61">
                  <c:v>11201.75</c:v>
                </c:pt>
                <c:pt idx="62">
                  <c:v>8597.75</c:v>
                </c:pt>
                <c:pt idx="63">
                  <c:v>9859.900390625</c:v>
                </c:pt>
                <c:pt idx="64">
                  <c:v>9580.2998046875</c:v>
                </c:pt>
                <c:pt idx="65">
                  <c:v>10302.099609375</c:v>
                </c:pt>
                <c:pt idx="66">
                  <c:v>11073.4501953125</c:v>
                </c:pt>
                <c:pt idx="67">
                  <c:v>11387.5</c:v>
                </c:pt>
                <c:pt idx="68">
                  <c:v>11247.5498046875</c:v>
                </c:pt>
                <c:pt idx="69">
                  <c:v>11642.4</c:v>
                </c:pt>
                <c:pt idx="70">
                  <c:v>12968.95</c:v>
                </c:pt>
                <c:pt idx="71">
                  <c:v>13981.75</c:v>
                </c:pt>
                <c:pt idx="72">
                  <c:v>13634.6</c:v>
                </c:pt>
                <c:pt idx="73">
                  <c:v>14529.15</c:v>
                </c:pt>
                <c:pt idx="74">
                  <c:v>14690.7</c:v>
                </c:pt>
                <c:pt idx="75">
                  <c:v>14631.1</c:v>
                </c:pt>
                <c:pt idx="76">
                  <c:v>15582.8</c:v>
                </c:pt>
                <c:pt idx="77">
                  <c:v>15721.5</c:v>
                </c:pt>
                <c:pt idx="78">
                  <c:v>15763.05</c:v>
                </c:pt>
                <c:pt idx="79">
                  <c:v>17132.2</c:v>
                </c:pt>
                <c:pt idx="80">
                  <c:v>17618.150000000001</c:v>
                </c:pt>
                <c:pt idx="81">
                  <c:v>17671.650000000001</c:v>
                </c:pt>
                <c:pt idx="82">
                  <c:v>16983.2</c:v>
                </c:pt>
                <c:pt idx="83">
                  <c:v>17354.05</c:v>
                </c:pt>
                <c:pt idx="84">
                  <c:v>17339.849999999999</c:v>
                </c:pt>
                <c:pt idx="85">
                  <c:v>16793.900000000001</c:v>
                </c:pt>
                <c:pt idx="86">
                  <c:v>17464.75</c:v>
                </c:pt>
                <c:pt idx="87">
                  <c:v>17102.55</c:v>
                </c:pt>
                <c:pt idx="88">
                  <c:v>16584.55</c:v>
                </c:pt>
                <c:pt idx="89">
                  <c:v>15780.25</c:v>
                </c:pt>
                <c:pt idx="90">
                  <c:v>17158.25</c:v>
                </c:pt>
                <c:pt idx="91">
                  <c:v>17759.3</c:v>
                </c:pt>
                <c:pt idx="92">
                  <c:v>17094.349999999999</c:v>
                </c:pt>
                <c:pt idx="93">
                  <c:v>18012.2</c:v>
                </c:pt>
                <c:pt idx="94">
                  <c:v>18758.349999999999</c:v>
                </c:pt>
                <c:pt idx="95">
                  <c:v>18105.3</c:v>
                </c:pt>
                <c:pt idx="96">
                  <c:v>17662.150000000001</c:v>
                </c:pt>
                <c:pt idx="97">
                  <c:v>17303.95</c:v>
                </c:pt>
                <c:pt idx="98">
                  <c:v>17359.75</c:v>
                </c:pt>
                <c:pt idx="99">
                  <c:v>18065</c:v>
                </c:pt>
                <c:pt idx="100">
                  <c:v>18534.400000000001</c:v>
                </c:pt>
                <c:pt idx="101">
                  <c:v>19189.05</c:v>
                </c:pt>
                <c:pt idx="102">
                  <c:v>19753.8</c:v>
                </c:pt>
                <c:pt idx="103">
                  <c:v>19253.8</c:v>
                </c:pt>
                <c:pt idx="104">
                  <c:v>19638.3</c:v>
                </c:pt>
                <c:pt idx="105">
                  <c:v>19079.599999999999</c:v>
                </c:pt>
                <c:pt idx="106">
                  <c:v>20133.150000000001</c:v>
                </c:pt>
                <c:pt idx="107">
                  <c:v>21731.4</c:v>
                </c:pt>
                <c:pt idx="108">
                  <c:v>21725.7</c:v>
                </c:pt>
                <c:pt idx="109">
                  <c:v>21982.799999999999</c:v>
                </c:pt>
                <c:pt idx="110">
                  <c:v>22326.9</c:v>
                </c:pt>
                <c:pt idx="111">
                  <c:v>22604.85</c:v>
                </c:pt>
                <c:pt idx="112">
                  <c:v>22530.7</c:v>
                </c:pt>
                <c:pt idx="113">
                  <c:v>24010.6</c:v>
                </c:pt>
                <c:pt idx="114">
                  <c:v>24951.15</c:v>
                </c:pt>
                <c:pt idx="115">
                  <c:v>25235.9</c:v>
                </c:pt>
                <c:pt idx="116">
                  <c:v>25810.85</c:v>
                </c:pt>
                <c:pt idx="117">
                  <c:v>24205.35</c:v>
                </c:pt>
                <c:pt idx="118">
                  <c:v>24131.1</c:v>
                </c:pt>
                <c:pt idx="119">
                  <c:v>23644.799999999999</c:v>
                </c:pt>
                <c:pt idx="120">
                  <c:v>23508.400000000001</c:v>
                </c:pt>
                <c:pt idx="121">
                  <c:v>22124.7</c:v>
                </c:pt>
                <c:pt idx="122">
                  <c:v>23519.35</c:v>
                </c:pt>
                <c:pt idx="123">
                  <c:v>24334.2</c:v>
                </c:pt>
                <c:pt idx="124">
                  <c:v>24750.7</c:v>
                </c:pt>
                <c:pt idx="125">
                  <c:v>25517.05</c:v>
                </c:pt>
                <c:pt idx="126">
                  <c:v>24768.35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B-4579-B1EB-D3D9E6430028}"/>
            </c:ext>
          </c:extLst>
        </c:ser>
        <c:ser>
          <c:idx val="1"/>
          <c:order val="1"/>
          <c:tx>
            <c:strRef>
              <c:f>Sheet11!$N$1</c:f>
              <c:strCache>
                <c:ptCount val="1"/>
                <c:pt idx="0">
                  <c:v>Forecasted 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Sheet11!$L$2:$L$145</c:f>
              <c:numCache>
                <c:formatCode>General</c:formatCode>
                <c:ptCount val="144"/>
                <c:pt idx="0">
                  <c:v>201501</c:v>
                </c:pt>
                <c:pt idx="1">
                  <c:v>201502</c:v>
                </c:pt>
                <c:pt idx="2">
                  <c:v>201503</c:v>
                </c:pt>
                <c:pt idx="3">
                  <c:v>201504</c:v>
                </c:pt>
                <c:pt idx="4">
                  <c:v>201505</c:v>
                </c:pt>
                <c:pt idx="5">
                  <c:v>201506</c:v>
                </c:pt>
                <c:pt idx="6">
                  <c:v>201507</c:v>
                </c:pt>
                <c:pt idx="7">
                  <c:v>201508</c:v>
                </c:pt>
                <c:pt idx="8">
                  <c:v>201509</c:v>
                </c:pt>
                <c:pt idx="9">
                  <c:v>201510</c:v>
                </c:pt>
                <c:pt idx="10">
                  <c:v>201511</c:v>
                </c:pt>
                <c:pt idx="11">
                  <c:v>201512</c:v>
                </c:pt>
                <c:pt idx="12">
                  <c:v>201601</c:v>
                </c:pt>
                <c:pt idx="13">
                  <c:v>201602</c:v>
                </c:pt>
                <c:pt idx="14">
                  <c:v>201603</c:v>
                </c:pt>
                <c:pt idx="15">
                  <c:v>201604</c:v>
                </c:pt>
                <c:pt idx="16">
                  <c:v>201605</c:v>
                </c:pt>
                <c:pt idx="17">
                  <c:v>201606</c:v>
                </c:pt>
                <c:pt idx="18">
                  <c:v>201607</c:v>
                </c:pt>
                <c:pt idx="19">
                  <c:v>201608</c:v>
                </c:pt>
                <c:pt idx="20">
                  <c:v>201609</c:v>
                </c:pt>
                <c:pt idx="21">
                  <c:v>201610</c:v>
                </c:pt>
                <c:pt idx="22">
                  <c:v>201611</c:v>
                </c:pt>
                <c:pt idx="23">
                  <c:v>201612</c:v>
                </c:pt>
                <c:pt idx="24">
                  <c:v>201701</c:v>
                </c:pt>
                <c:pt idx="25">
                  <c:v>201702</c:v>
                </c:pt>
                <c:pt idx="26">
                  <c:v>201703</c:v>
                </c:pt>
                <c:pt idx="27">
                  <c:v>201704</c:v>
                </c:pt>
                <c:pt idx="28">
                  <c:v>201705</c:v>
                </c:pt>
                <c:pt idx="29">
                  <c:v>201706</c:v>
                </c:pt>
                <c:pt idx="30">
                  <c:v>201707</c:v>
                </c:pt>
                <c:pt idx="31">
                  <c:v>201708</c:v>
                </c:pt>
                <c:pt idx="32">
                  <c:v>201709</c:v>
                </c:pt>
                <c:pt idx="33">
                  <c:v>201710</c:v>
                </c:pt>
                <c:pt idx="34">
                  <c:v>201711</c:v>
                </c:pt>
                <c:pt idx="35">
                  <c:v>201712</c:v>
                </c:pt>
                <c:pt idx="36">
                  <c:v>201801</c:v>
                </c:pt>
                <c:pt idx="37">
                  <c:v>201802</c:v>
                </c:pt>
                <c:pt idx="38">
                  <c:v>201803</c:v>
                </c:pt>
                <c:pt idx="39">
                  <c:v>201804</c:v>
                </c:pt>
                <c:pt idx="40">
                  <c:v>201805</c:v>
                </c:pt>
                <c:pt idx="41">
                  <c:v>201806</c:v>
                </c:pt>
                <c:pt idx="42">
                  <c:v>201807</c:v>
                </c:pt>
                <c:pt idx="43">
                  <c:v>201808</c:v>
                </c:pt>
                <c:pt idx="44">
                  <c:v>201809</c:v>
                </c:pt>
                <c:pt idx="45">
                  <c:v>201810</c:v>
                </c:pt>
                <c:pt idx="46">
                  <c:v>201811</c:v>
                </c:pt>
                <c:pt idx="47">
                  <c:v>201812</c:v>
                </c:pt>
                <c:pt idx="48">
                  <c:v>201901</c:v>
                </c:pt>
                <c:pt idx="49">
                  <c:v>201902</c:v>
                </c:pt>
                <c:pt idx="50">
                  <c:v>201903</c:v>
                </c:pt>
                <c:pt idx="51">
                  <c:v>201904</c:v>
                </c:pt>
                <c:pt idx="52">
                  <c:v>201905</c:v>
                </c:pt>
                <c:pt idx="53">
                  <c:v>201906</c:v>
                </c:pt>
                <c:pt idx="54">
                  <c:v>201907</c:v>
                </c:pt>
                <c:pt idx="55">
                  <c:v>201908</c:v>
                </c:pt>
                <c:pt idx="56">
                  <c:v>201909</c:v>
                </c:pt>
                <c:pt idx="57">
                  <c:v>201910</c:v>
                </c:pt>
                <c:pt idx="58">
                  <c:v>201911</c:v>
                </c:pt>
                <c:pt idx="59">
                  <c:v>201912</c:v>
                </c:pt>
                <c:pt idx="60">
                  <c:v>202001</c:v>
                </c:pt>
                <c:pt idx="61">
                  <c:v>202002</c:v>
                </c:pt>
                <c:pt idx="62">
                  <c:v>202003</c:v>
                </c:pt>
                <c:pt idx="63">
                  <c:v>202004</c:v>
                </c:pt>
                <c:pt idx="64">
                  <c:v>202005</c:v>
                </c:pt>
                <c:pt idx="65">
                  <c:v>202006</c:v>
                </c:pt>
                <c:pt idx="66">
                  <c:v>202007</c:v>
                </c:pt>
                <c:pt idx="67">
                  <c:v>202008</c:v>
                </c:pt>
                <c:pt idx="68">
                  <c:v>202009</c:v>
                </c:pt>
                <c:pt idx="69">
                  <c:v>202010</c:v>
                </c:pt>
                <c:pt idx="70">
                  <c:v>202011</c:v>
                </c:pt>
                <c:pt idx="71">
                  <c:v>202012</c:v>
                </c:pt>
                <c:pt idx="72">
                  <c:v>202101</c:v>
                </c:pt>
                <c:pt idx="73">
                  <c:v>202102</c:v>
                </c:pt>
                <c:pt idx="74">
                  <c:v>202103</c:v>
                </c:pt>
                <c:pt idx="75">
                  <c:v>202104</c:v>
                </c:pt>
                <c:pt idx="76">
                  <c:v>202105</c:v>
                </c:pt>
                <c:pt idx="77">
                  <c:v>202106</c:v>
                </c:pt>
                <c:pt idx="78">
                  <c:v>202107</c:v>
                </c:pt>
                <c:pt idx="79">
                  <c:v>202108</c:v>
                </c:pt>
                <c:pt idx="80">
                  <c:v>202109</c:v>
                </c:pt>
                <c:pt idx="81">
                  <c:v>202110</c:v>
                </c:pt>
                <c:pt idx="82">
                  <c:v>202111</c:v>
                </c:pt>
                <c:pt idx="83">
                  <c:v>202112</c:v>
                </c:pt>
                <c:pt idx="84">
                  <c:v>202201</c:v>
                </c:pt>
                <c:pt idx="85">
                  <c:v>202202</c:v>
                </c:pt>
                <c:pt idx="86">
                  <c:v>202203</c:v>
                </c:pt>
                <c:pt idx="87">
                  <c:v>202204</c:v>
                </c:pt>
                <c:pt idx="88">
                  <c:v>202205</c:v>
                </c:pt>
                <c:pt idx="89">
                  <c:v>202206</c:v>
                </c:pt>
                <c:pt idx="90">
                  <c:v>202207</c:v>
                </c:pt>
                <c:pt idx="91">
                  <c:v>202208</c:v>
                </c:pt>
                <c:pt idx="92">
                  <c:v>202209</c:v>
                </c:pt>
                <c:pt idx="93">
                  <c:v>202210</c:v>
                </c:pt>
                <c:pt idx="94">
                  <c:v>202211</c:v>
                </c:pt>
                <c:pt idx="95">
                  <c:v>202212</c:v>
                </c:pt>
                <c:pt idx="96">
                  <c:v>202301</c:v>
                </c:pt>
                <c:pt idx="97">
                  <c:v>202302</c:v>
                </c:pt>
                <c:pt idx="98">
                  <c:v>202303</c:v>
                </c:pt>
                <c:pt idx="99">
                  <c:v>202304</c:v>
                </c:pt>
                <c:pt idx="100">
                  <c:v>202305</c:v>
                </c:pt>
                <c:pt idx="101">
                  <c:v>202306</c:v>
                </c:pt>
                <c:pt idx="102">
                  <c:v>202307</c:v>
                </c:pt>
                <c:pt idx="103">
                  <c:v>202308</c:v>
                </c:pt>
                <c:pt idx="104">
                  <c:v>202309</c:v>
                </c:pt>
                <c:pt idx="105">
                  <c:v>202310</c:v>
                </c:pt>
                <c:pt idx="106">
                  <c:v>202311</c:v>
                </c:pt>
                <c:pt idx="107">
                  <c:v>202312</c:v>
                </c:pt>
                <c:pt idx="108">
                  <c:v>202401</c:v>
                </c:pt>
                <c:pt idx="109">
                  <c:v>202402</c:v>
                </c:pt>
                <c:pt idx="110">
                  <c:v>202403</c:v>
                </c:pt>
                <c:pt idx="111">
                  <c:v>202404</c:v>
                </c:pt>
                <c:pt idx="112">
                  <c:v>202405</c:v>
                </c:pt>
                <c:pt idx="113">
                  <c:v>202406</c:v>
                </c:pt>
                <c:pt idx="114">
                  <c:v>202407</c:v>
                </c:pt>
                <c:pt idx="115">
                  <c:v>202408</c:v>
                </c:pt>
                <c:pt idx="116">
                  <c:v>202409</c:v>
                </c:pt>
                <c:pt idx="117">
                  <c:v>202410</c:v>
                </c:pt>
                <c:pt idx="118">
                  <c:v>202411</c:v>
                </c:pt>
                <c:pt idx="119">
                  <c:v>202412</c:v>
                </c:pt>
                <c:pt idx="120">
                  <c:v>202501</c:v>
                </c:pt>
                <c:pt idx="121">
                  <c:v>202502</c:v>
                </c:pt>
                <c:pt idx="122">
                  <c:v>202503</c:v>
                </c:pt>
                <c:pt idx="123">
                  <c:v>202504</c:v>
                </c:pt>
                <c:pt idx="124">
                  <c:v>202505</c:v>
                </c:pt>
                <c:pt idx="125">
                  <c:v>202506</c:v>
                </c:pt>
                <c:pt idx="126">
                  <c:v>202507</c:v>
                </c:pt>
                <c:pt idx="127">
                  <c:v>202508</c:v>
                </c:pt>
                <c:pt idx="128">
                  <c:v>202509</c:v>
                </c:pt>
                <c:pt idx="129">
                  <c:v>202510</c:v>
                </c:pt>
                <c:pt idx="130">
                  <c:v>202511</c:v>
                </c:pt>
                <c:pt idx="131">
                  <c:v>202512</c:v>
                </c:pt>
                <c:pt idx="132">
                  <c:v>202601</c:v>
                </c:pt>
                <c:pt idx="133">
                  <c:v>202602</c:v>
                </c:pt>
                <c:pt idx="134">
                  <c:v>202603</c:v>
                </c:pt>
                <c:pt idx="135">
                  <c:v>202604</c:v>
                </c:pt>
                <c:pt idx="136">
                  <c:v>202605</c:v>
                </c:pt>
                <c:pt idx="137">
                  <c:v>202606</c:v>
                </c:pt>
                <c:pt idx="138">
                  <c:v>202607</c:v>
                </c:pt>
                <c:pt idx="139">
                  <c:v>202608</c:v>
                </c:pt>
                <c:pt idx="140">
                  <c:v>202609</c:v>
                </c:pt>
                <c:pt idx="141">
                  <c:v>202610</c:v>
                </c:pt>
                <c:pt idx="142">
                  <c:v>202611</c:v>
                </c:pt>
                <c:pt idx="143">
                  <c:v>202612</c:v>
                </c:pt>
              </c:numCache>
            </c:numRef>
          </c:cat>
          <c:val>
            <c:numRef>
              <c:f>Sheet11!$N$2:$N$145</c:f>
              <c:numCache>
                <c:formatCode>General</c:formatCode>
                <c:ptCount val="144"/>
                <c:pt idx="127">
                  <c:v>24929.917303648064</c:v>
                </c:pt>
                <c:pt idx="128">
                  <c:v>25137.81451814072</c:v>
                </c:pt>
                <c:pt idx="129">
                  <c:v>25294.86825343595</c:v>
                </c:pt>
                <c:pt idx="130">
                  <c:v>25482.728415322796</c:v>
                </c:pt>
                <c:pt idx="131">
                  <c:v>25681.419126403936</c:v>
                </c:pt>
                <c:pt idx="132">
                  <c:v>25874.024577860924</c:v>
                </c:pt>
                <c:pt idx="133">
                  <c:v>26053.368170608508</c:v>
                </c:pt>
                <c:pt idx="134">
                  <c:v>26274.68249771159</c:v>
                </c:pt>
                <c:pt idx="135">
                  <c:v>26461.783759801885</c:v>
                </c:pt>
                <c:pt idx="136">
                  <c:v>26646.373940451445</c:v>
                </c:pt>
                <c:pt idx="137">
                  <c:v>26858.715343946737</c:v>
                </c:pt>
                <c:pt idx="138">
                  <c:v>27010.435124181931</c:v>
                </c:pt>
                <c:pt idx="139">
                  <c:v>27179.86051412356</c:v>
                </c:pt>
                <c:pt idx="140">
                  <c:v>27412.729799559336</c:v>
                </c:pt>
                <c:pt idx="141">
                  <c:v>27557.661452755878</c:v>
                </c:pt>
                <c:pt idx="142">
                  <c:v>27746.380610966622</c:v>
                </c:pt>
                <c:pt idx="143">
                  <c:v>27936.090113480361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6B-4579-B1EB-D3D9E6430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4414912"/>
        <c:axId val="1454418752"/>
      </c:lineChart>
      <c:catAx>
        <c:axId val="1454414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18752"/>
        <c:crosses val="autoZero"/>
        <c:auto val="1"/>
        <c:lblAlgn val="ctr"/>
        <c:lblOffset val="100"/>
        <c:noMultiLvlLbl val="0"/>
      </c:catAx>
      <c:valAx>
        <c:axId val="14544187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1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7</xdr:col>
          <xdr:colOff>502920</xdr:colOff>
          <xdr:row>15</xdr:row>
          <xdr:rowOff>68580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24</xdr:col>
      <xdr:colOff>141514</xdr:colOff>
      <xdr:row>8</xdr:row>
      <xdr:rowOff>141514</xdr:rowOff>
    </xdr:from>
    <xdr:to>
      <xdr:col>33</xdr:col>
      <xdr:colOff>397971</xdr:colOff>
      <xdr:row>21</xdr:row>
      <xdr:rowOff>65009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52914" y="1709057"/>
          <a:ext cx="5742857" cy="24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524459</xdr:colOff>
      <xdr:row>29</xdr:row>
      <xdr:rowOff>162719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82059" cy="568721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</xdr:row>
          <xdr:rowOff>0</xdr:rowOff>
        </xdr:from>
        <xdr:to>
          <xdr:col>16</xdr:col>
          <xdr:colOff>487680</xdr:colOff>
          <xdr:row>17</xdr:row>
          <xdr:rowOff>114300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581617</xdr:colOff>
      <xdr:row>30</xdr:row>
      <xdr:rowOff>96061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39217" cy="58110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342900</xdr:colOff>
          <xdr:row>26</xdr:row>
          <xdr:rowOff>60960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8</xdr:col>
          <xdr:colOff>327660</xdr:colOff>
          <xdr:row>17</xdr:row>
          <xdr:rowOff>22860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19</xdr:row>
      <xdr:rowOff>0</xdr:rowOff>
    </xdr:from>
    <xdr:to>
      <xdr:col>9</xdr:col>
      <xdr:colOff>486353</xdr:colOff>
      <xdr:row>48</xdr:row>
      <xdr:rowOff>181771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3619500"/>
          <a:ext cx="4143953" cy="570627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-1</xdr:rowOff>
    </xdr:from>
    <xdr:to>
      <xdr:col>18</xdr:col>
      <xdr:colOff>152400</xdr:colOff>
      <xdr:row>50</xdr:row>
      <xdr:rowOff>120015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3516085"/>
          <a:ext cx="4419600" cy="58567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497840</xdr:colOff>
      <xdr:row>8</xdr:row>
      <xdr:rowOff>96519</xdr:rowOff>
    </xdr:from>
    <xdr:to>
      <xdr:col>26</xdr:col>
      <xdr:colOff>269240</xdr:colOff>
      <xdr:row>32</xdr:row>
      <xdr:rowOff>94614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541020</xdr:colOff>
          <xdr:row>27</xdr:row>
          <xdr:rowOff>167640</xdr:rowOff>
        </xdr:from>
        <xdr:to>
          <xdr:col>14</xdr:col>
          <xdr:colOff>259080</xdr:colOff>
          <xdr:row>45</xdr:row>
          <xdr:rowOff>7620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7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441960</xdr:colOff>
          <xdr:row>0</xdr:row>
          <xdr:rowOff>83820</xdr:rowOff>
        </xdr:from>
        <xdr:to>
          <xdr:col>25</xdr:col>
          <xdr:colOff>175260</xdr:colOff>
          <xdr:row>26</xdr:row>
          <xdr:rowOff>144780</xdr:rowOff>
        </xdr:to>
        <xdr:sp macro="" textlink="">
          <xdr:nvSpPr>
            <xdr:cNvPr id="8195" name="Object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7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29</xdr:col>
      <xdr:colOff>0</xdr:colOff>
      <xdr:row>0</xdr:row>
      <xdr:rowOff>0</xdr:rowOff>
    </xdr:from>
    <xdr:to>
      <xdr:col>35</xdr:col>
      <xdr:colOff>514932</xdr:colOff>
      <xdr:row>30</xdr:row>
      <xdr:rowOff>153219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0"/>
          <a:ext cx="4172532" cy="5868219"/>
        </a:xfrm>
        <a:prstGeom prst="rect">
          <a:avLst/>
        </a:prstGeom>
      </xdr:spPr>
    </xdr:pic>
    <xdr:clientData/>
  </xdr:twoCellAnchor>
  <xdr:twoCellAnchor editAs="oneCell">
    <xdr:from>
      <xdr:col>21</xdr:col>
      <xdr:colOff>227464</xdr:colOff>
      <xdr:row>28</xdr:row>
      <xdr:rowOff>79612</xdr:rowOff>
    </xdr:from>
    <xdr:to>
      <xdr:col>28</xdr:col>
      <xdr:colOff>185404</xdr:colOff>
      <xdr:row>58</xdr:row>
      <xdr:rowOff>99462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29064" y="5099847"/>
          <a:ext cx="4225140" cy="53986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266095</xdr:colOff>
          <xdr:row>32</xdr:row>
          <xdr:rowOff>120952</xdr:rowOff>
        </xdr:from>
        <xdr:to>
          <xdr:col>40</xdr:col>
          <xdr:colOff>273715</xdr:colOff>
          <xdr:row>46</xdr:row>
          <xdr:rowOff>143812</xdr:rowOff>
        </xdr:to>
        <xdr:sp macro="" textlink="">
          <xdr:nvSpPr>
            <xdr:cNvPr id="8196" name="Object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7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3</xdr:row>
      <xdr:rowOff>0</xdr:rowOff>
    </xdr:from>
    <xdr:to>
      <xdr:col>25</xdr:col>
      <xdr:colOff>543511</xdr:colOff>
      <xdr:row>33</xdr:row>
      <xdr:rowOff>115114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571500"/>
          <a:ext cx="4201111" cy="583011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388620</xdr:colOff>
          <xdr:row>2</xdr:row>
          <xdr:rowOff>129540</xdr:rowOff>
        </xdr:from>
        <xdr:to>
          <xdr:col>35</xdr:col>
          <xdr:colOff>106680</xdr:colOff>
          <xdr:row>19</xdr:row>
          <xdr:rowOff>152400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9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77492</xdr:colOff>
      <xdr:row>30</xdr:row>
      <xdr:rowOff>77491</xdr:rowOff>
    </xdr:from>
    <xdr:to>
      <xdr:col>14</xdr:col>
      <xdr:colOff>13986</xdr:colOff>
      <xdr:row>60</xdr:row>
      <xdr:rowOff>164025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26611" y="5501898"/>
          <a:ext cx="4185612" cy="551094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362494</xdr:colOff>
          <xdr:row>38</xdr:row>
          <xdr:rowOff>1</xdr:rowOff>
        </xdr:from>
        <xdr:to>
          <xdr:col>26</xdr:col>
          <xdr:colOff>370114</xdr:colOff>
          <xdr:row>52</xdr:row>
          <xdr:rowOff>22861</xdr:rowOff>
        </xdr:to>
        <xdr:sp macro="" textlink="">
          <xdr:nvSpPr>
            <xdr:cNvPr id="9219" name="Object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9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525780</xdr:colOff>
          <xdr:row>1</xdr:row>
          <xdr:rowOff>76200</xdr:rowOff>
        </xdr:from>
        <xdr:to>
          <xdr:col>18</xdr:col>
          <xdr:colOff>259080</xdr:colOff>
          <xdr:row>27</xdr:row>
          <xdr:rowOff>129540</xdr:rowOff>
        </xdr:to>
        <xdr:sp macro="" textlink="">
          <xdr:nvSpPr>
            <xdr:cNvPr id="9220" name="Object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9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603885</xdr:colOff>
      <xdr:row>1</xdr:row>
      <xdr:rowOff>144780</xdr:rowOff>
    </xdr:from>
    <xdr:to>
      <xdr:col>26</xdr:col>
      <xdr:colOff>108585</xdr:colOff>
      <xdr:row>20</xdr:row>
      <xdr:rowOff>59736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106134</xdr:colOff>
      <xdr:row>8</xdr:row>
      <xdr:rowOff>108858</xdr:rowOff>
    </xdr:from>
    <xdr:to>
      <xdr:col>26</xdr:col>
      <xdr:colOff>289831</xdr:colOff>
      <xdr:row>26</xdr:row>
      <xdr:rowOff>84365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openxmlformats.org/officeDocument/2006/relationships/image" Target="../media/image6.emf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openxmlformats.org/officeDocument/2006/relationships/image" Target="../media/image7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emf"/><Relationship Id="rId3" Type="http://schemas.openxmlformats.org/officeDocument/2006/relationships/oleObject" Target="../embeddings/oleObject5.bin"/><Relationship Id="rId7" Type="http://schemas.openxmlformats.org/officeDocument/2006/relationships/oleObject" Target="../embeddings/oleObject7.bin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Relationship Id="rId6" Type="http://schemas.openxmlformats.org/officeDocument/2006/relationships/image" Target="../media/image11.emf"/><Relationship Id="rId5" Type="http://schemas.openxmlformats.org/officeDocument/2006/relationships/oleObject" Target="../embeddings/oleObject6.bin"/><Relationship Id="rId4" Type="http://schemas.openxmlformats.org/officeDocument/2006/relationships/image" Target="../media/image10.emf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3" Type="http://schemas.openxmlformats.org/officeDocument/2006/relationships/oleObject" Target="../embeddings/oleObject8.bin"/><Relationship Id="rId7" Type="http://schemas.openxmlformats.org/officeDocument/2006/relationships/oleObject" Target="../embeddings/oleObject10.bin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8.xml"/><Relationship Id="rId6" Type="http://schemas.openxmlformats.org/officeDocument/2006/relationships/image" Target="../media/image16.emf"/><Relationship Id="rId5" Type="http://schemas.openxmlformats.org/officeDocument/2006/relationships/oleObject" Target="../embeddings/oleObject9.bin"/><Relationship Id="rId4" Type="http://schemas.openxmlformats.org/officeDocument/2006/relationships/image" Target="../media/image15.emf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21C4-7FEC-4E20-A816-7574AD812222}">
  <dimension ref="A1:B145"/>
  <sheetViews>
    <sheetView tabSelected="1" zoomScale="85" zoomScaleNormal="85" workbookViewId="0">
      <selection activeCell="I20" sqref="I2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201501</v>
      </c>
      <c r="B2">
        <v>8808.900390625</v>
      </c>
    </row>
    <row r="3" spans="1:2" x14ac:dyDescent="0.3">
      <c r="A3">
        <v>201502</v>
      </c>
      <c r="B3">
        <v>8901.85</v>
      </c>
    </row>
    <row r="4" spans="1:2" x14ac:dyDescent="0.3">
      <c r="A4">
        <v>201503</v>
      </c>
      <c r="B4">
        <v>8491</v>
      </c>
    </row>
    <row r="5" spans="1:2" x14ac:dyDescent="0.3">
      <c r="A5">
        <v>201504</v>
      </c>
      <c r="B5">
        <v>8181.5</v>
      </c>
    </row>
    <row r="6" spans="1:2" x14ac:dyDescent="0.3">
      <c r="A6">
        <v>201505</v>
      </c>
      <c r="B6">
        <v>8433.65</v>
      </c>
    </row>
    <row r="7" spans="1:2" x14ac:dyDescent="0.3">
      <c r="A7">
        <v>201506</v>
      </c>
      <c r="B7">
        <v>8368.5</v>
      </c>
    </row>
    <row r="8" spans="1:2" x14ac:dyDescent="0.3">
      <c r="A8">
        <v>201507</v>
      </c>
      <c r="B8">
        <v>8532.85</v>
      </c>
    </row>
    <row r="9" spans="1:2" x14ac:dyDescent="0.3">
      <c r="A9">
        <v>201508</v>
      </c>
      <c r="B9">
        <v>7971.3</v>
      </c>
    </row>
    <row r="10" spans="1:2" x14ac:dyDescent="0.3">
      <c r="A10">
        <v>201509</v>
      </c>
      <c r="B10">
        <v>7948.9</v>
      </c>
    </row>
    <row r="11" spans="1:2" x14ac:dyDescent="0.3">
      <c r="A11">
        <v>201510</v>
      </c>
      <c r="B11">
        <v>8065.8</v>
      </c>
    </row>
    <row r="12" spans="1:2" x14ac:dyDescent="0.3">
      <c r="A12">
        <v>201511</v>
      </c>
      <c r="B12">
        <v>7935.25</v>
      </c>
    </row>
    <row r="13" spans="1:2" x14ac:dyDescent="0.3">
      <c r="A13">
        <v>201512</v>
      </c>
      <c r="B13">
        <v>7946.35</v>
      </c>
    </row>
    <row r="14" spans="1:2" x14ac:dyDescent="0.3">
      <c r="A14">
        <v>201601</v>
      </c>
      <c r="B14">
        <v>7563.55</v>
      </c>
    </row>
    <row r="15" spans="1:2" x14ac:dyDescent="0.3">
      <c r="A15">
        <v>201602</v>
      </c>
      <c r="B15">
        <v>6987.05</v>
      </c>
    </row>
    <row r="16" spans="1:2" x14ac:dyDescent="0.3">
      <c r="A16">
        <v>201603</v>
      </c>
      <c r="B16">
        <v>7738.4</v>
      </c>
    </row>
    <row r="17" spans="1:2" x14ac:dyDescent="0.3">
      <c r="A17">
        <v>201604</v>
      </c>
      <c r="B17">
        <v>7849.7998046875</v>
      </c>
    </row>
    <row r="18" spans="1:2" x14ac:dyDescent="0.3">
      <c r="A18">
        <v>201605</v>
      </c>
      <c r="B18">
        <v>8160.10009765625</v>
      </c>
    </row>
    <row r="19" spans="1:2" x14ac:dyDescent="0.3">
      <c r="A19">
        <v>201606</v>
      </c>
      <c r="B19">
        <v>8287.75</v>
      </c>
    </row>
    <row r="20" spans="1:2" x14ac:dyDescent="0.3">
      <c r="A20">
        <v>201607</v>
      </c>
      <c r="B20">
        <v>8638.5</v>
      </c>
    </row>
    <row r="21" spans="1:2" x14ac:dyDescent="0.3">
      <c r="A21">
        <v>201608</v>
      </c>
      <c r="B21">
        <v>8786.2001953125</v>
      </c>
    </row>
    <row r="22" spans="1:2" x14ac:dyDescent="0.3">
      <c r="A22">
        <v>201609</v>
      </c>
      <c r="B22">
        <v>8611.150390625</v>
      </c>
    </row>
    <row r="23" spans="1:2" x14ac:dyDescent="0.3">
      <c r="A23">
        <v>201610</v>
      </c>
      <c r="B23">
        <v>8625.7001953125</v>
      </c>
    </row>
    <row r="24" spans="1:2" x14ac:dyDescent="0.3">
      <c r="A24">
        <v>201611</v>
      </c>
      <c r="B24">
        <v>8224.5</v>
      </c>
    </row>
    <row r="25" spans="1:2" x14ac:dyDescent="0.3">
      <c r="A25">
        <v>201612</v>
      </c>
      <c r="B25">
        <v>8185.7998046875</v>
      </c>
    </row>
    <row r="26" spans="1:2" x14ac:dyDescent="0.3">
      <c r="A26">
        <v>201701</v>
      </c>
      <c r="B26">
        <v>8561.2998046875</v>
      </c>
    </row>
    <row r="27" spans="1:2" x14ac:dyDescent="0.3">
      <c r="A27">
        <v>201702</v>
      </c>
      <c r="B27">
        <v>8879.599609375</v>
      </c>
    </row>
    <row r="28" spans="1:2" x14ac:dyDescent="0.3">
      <c r="A28">
        <v>201703</v>
      </c>
      <c r="B28">
        <v>9173.75</v>
      </c>
    </row>
    <row r="29" spans="1:2" x14ac:dyDescent="0.3">
      <c r="A29">
        <v>201704</v>
      </c>
      <c r="B29">
        <v>9304.0498046875</v>
      </c>
    </row>
    <row r="30" spans="1:2" x14ac:dyDescent="0.3">
      <c r="A30">
        <v>201705</v>
      </c>
      <c r="B30">
        <v>9621.25</v>
      </c>
    </row>
    <row r="31" spans="1:2" x14ac:dyDescent="0.3">
      <c r="A31">
        <v>201706</v>
      </c>
      <c r="B31">
        <v>9520.900390625</v>
      </c>
    </row>
    <row r="32" spans="1:2" x14ac:dyDescent="0.3">
      <c r="A32">
        <v>201707</v>
      </c>
      <c r="B32">
        <v>10077.099609375</v>
      </c>
    </row>
    <row r="33" spans="1:2" x14ac:dyDescent="0.3">
      <c r="A33">
        <v>201708</v>
      </c>
      <c r="B33">
        <v>9917.900390625</v>
      </c>
    </row>
    <row r="34" spans="1:2" x14ac:dyDescent="0.3">
      <c r="A34">
        <v>201709</v>
      </c>
      <c r="B34">
        <v>9788.599609375</v>
      </c>
    </row>
    <row r="35" spans="1:2" x14ac:dyDescent="0.3">
      <c r="A35">
        <v>201710</v>
      </c>
      <c r="B35">
        <v>10335.2998046875</v>
      </c>
    </row>
    <row r="36" spans="1:2" x14ac:dyDescent="0.3">
      <c r="A36">
        <v>201711</v>
      </c>
      <c r="B36">
        <v>10226.5498046875</v>
      </c>
    </row>
    <row r="37" spans="1:2" x14ac:dyDescent="0.3">
      <c r="A37">
        <v>201712</v>
      </c>
      <c r="B37">
        <v>10530.7001953125</v>
      </c>
    </row>
    <row r="38" spans="1:2" x14ac:dyDescent="0.3">
      <c r="A38">
        <v>201801</v>
      </c>
      <c r="B38">
        <v>11027.7001953125</v>
      </c>
    </row>
    <row r="39" spans="1:2" x14ac:dyDescent="0.3">
      <c r="A39">
        <v>201802</v>
      </c>
      <c r="B39">
        <v>10492.849609375</v>
      </c>
    </row>
    <row r="40" spans="1:2" x14ac:dyDescent="0.3">
      <c r="A40">
        <v>201803</v>
      </c>
      <c r="B40">
        <v>10113.7001953125</v>
      </c>
    </row>
    <row r="41" spans="1:2" x14ac:dyDescent="0.3">
      <c r="A41">
        <v>201804</v>
      </c>
      <c r="B41">
        <v>10739.349609375</v>
      </c>
    </row>
    <row r="42" spans="1:2" x14ac:dyDescent="0.3">
      <c r="A42">
        <v>201805</v>
      </c>
      <c r="B42">
        <v>10736.150390625</v>
      </c>
    </row>
    <row r="43" spans="1:2" x14ac:dyDescent="0.3">
      <c r="A43">
        <v>201806</v>
      </c>
      <c r="B43">
        <v>10714.2998046875</v>
      </c>
    </row>
    <row r="44" spans="1:2" x14ac:dyDescent="0.3">
      <c r="A44">
        <v>201807</v>
      </c>
      <c r="B44">
        <v>11356.5</v>
      </c>
    </row>
    <row r="45" spans="1:2" x14ac:dyDescent="0.3">
      <c r="A45">
        <v>201808</v>
      </c>
      <c r="B45">
        <v>11680.5</v>
      </c>
    </row>
    <row r="46" spans="1:2" x14ac:dyDescent="0.3">
      <c r="A46">
        <v>201809</v>
      </c>
      <c r="B46">
        <v>10930.4501953125</v>
      </c>
    </row>
    <row r="47" spans="1:2" x14ac:dyDescent="0.3">
      <c r="A47">
        <v>201810</v>
      </c>
      <c r="B47">
        <v>10386.599609375</v>
      </c>
    </row>
    <row r="48" spans="1:2" x14ac:dyDescent="0.3">
      <c r="A48">
        <v>201811</v>
      </c>
      <c r="B48">
        <v>10876.75</v>
      </c>
    </row>
    <row r="49" spans="1:2" x14ac:dyDescent="0.3">
      <c r="A49">
        <v>201812</v>
      </c>
      <c r="B49">
        <v>10862.5498046875</v>
      </c>
    </row>
    <row r="50" spans="1:2" x14ac:dyDescent="0.3">
      <c r="A50">
        <v>201901</v>
      </c>
      <c r="B50">
        <v>10830.9501953125</v>
      </c>
    </row>
    <row r="51" spans="1:2" x14ac:dyDescent="0.3">
      <c r="A51">
        <v>201902</v>
      </c>
      <c r="B51">
        <v>10792.5</v>
      </c>
    </row>
    <row r="52" spans="1:2" x14ac:dyDescent="0.3">
      <c r="A52">
        <v>201903</v>
      </c>
      <c r="B52">
        <v>11623.900390625</v>
      </c>
    </row>
    <row r="53" spans="1:2" x14ac:dyDescent="0.3">
      <c r="A53">
        <v>201904</v>
      </c>
      <c r="B53">
        <v>11748.150390625</v>
      </c>
    </row>
    <row r="54" spans="1:2" x14ac:dyDescent="0.3">
      <c r="A54">
        <v>201905</v>
      </c>
      <c r="B54">
        <v>11922.7998046875</v>
      </c>
    </row>
    <row r="55" spans="1:2" x14ac:dyDescent="0.3">
      <c r="A55">
        <v>201906</v>
      </c>
      <c r="B55">
        <v>11788.849609375</v>
      </c>
    </row>
    <row r="56" spans="1:2" x14ac:dyDescent="0.3">
      <c r="A56">
        <v>201907</v>
      </c>
      <c r="B56">
        <v>11118</v>
      </c>
    </row>
    <row r="57" spans="1:2" x14ac:dyDescent="0.3">
      <c r="A57">
        <v>201908</v>
      </c>
      <c r="B57">
        <v>11023.25</v>
      </c>
    </row>
    <row r="58" spans="1:2" x14ac:dyDescent="0.3">
      <c r="A58">
        <v>201909</v>
      </c>
      <c r="B58">
        <v>11474.4501953125</v>
      </c>
    </row>
    <row r="59" spans="1:2" x14ac:dyDescent="0.3">
      <c r="A59">
        <v>201910</v>
      </c>
      <c r="B59">
        <v>11877.4501953125</v>
      </c>
    </row>
    <row r="60" spans="1:2" x14ac:dyDescent="0.3">
      <c r="A60">
        <v>201911</v>
      </c>
      <c r="B60">
        <v>12056.0498046875</v>
      </c>
    </row>
    <row r="61" spans="1:2" x14ac:dyDescent="0.3">
      <c r="A61">
        <v>201912</v>
      </c>
      <c r="B61">
        <v>12168.4501953125</v>
      </c>
    </row>
    <row r="62" spans="1:2" x14ac:dyDescent="0.3">
      <c r="A62">
        <v>202001</v>
      </c>
      <c r="B62">
        <v>11962.099609375</v>
      </c>
    </row>
    <row r="63" spans="1:2" x14ac:dyDescent="0.3">
      <c r="A63">
        <v>202002</v>
      </c>
      <c r="B63">
        <v>11201.75</v>
      </c>
    </row>
    <row r="64" spans="1:2" x14ac:dyDescent="0.3">
      <c r="A64">
        <v>202003</v>
      </c>
      <c r="B64">
        <v>8597.75</v>
      </c>
    </row>
    <row r="65" spans="1:2" x14ac:dyDescent="0.3">
      <c r="A65">
        <v>202004</v>
      </c>
      <c r="B65">
        <v>9859.900390625</v>
      </c>
    </row>
    <row r="66" spans="1:2" x14ac:dyDescent="0.3">
      <c r="A66">
        <v>202005</v>
      </c>
      <c r="B66">
        <v>9580.2998046875</v>
      </c>
    </row>
    <row r="67" spans="1:2" x14ac:dyDescent="0.3">
      <c r="A67">
        <v>202006</v>
      </c>
      <c r="B67">
        <v>10302.099609375</v>
      </c>
    </row>
    <row r="68" spans="1:2" x14ac:dyDescent="0.3">
      <c r="A68">
        <v>202007</v>
      </c>
      <c r="B68">
        <v>11073.4501953125</v>
      </c>
    </row>
    <row r="69" spans="1:2" x14ac:dyDescent="0.3">
      <c r="A69">
        <v>202008</v>
      </c>
      <c r="B69">
        <v>11387.5</v>
      </c>
    </row>
    <row r="70" spans="1:2" x14ac:dyDescent="0.3">
      <c r="A70">
        <v>202009</v>
      </c>
      <c r="B70">
        <v>11247.5498046875</v>
      </c>
    </row>
    <row r="71" spans="1:2" x14ac:dyDescent="0.3">
      <c r="A71">
        <v>202010</v>
      </c>
      <c r="B71">
        <v>11642.4</v>
      </c>
    </row>
    <row r="72" spans="1:2" x14ac:dyDescent="0.3">
      <c r="A72">
        <v>202011</v>
      </c>
      <c r="B72">
        <v>12968.95</v>
      </c>
    </row>
    <row r="73" spans="1:2" x14ac:dyDescent="0.3">
      <c r="A73">
        <v>202012</v>
      </c>
      <c r="B73">
        <v>13981.75</v>
      </c>
    </row>
    <row r="74" spans="1:2" x14ac:dyDescent="0.3">
      <c r="A74">
        <v>202101</v>
      </c>
      <c r="B74">
        <v>13634.6</v>
      </c>
    </row>
    <row r="75" spans="1:2" x14ac:dyDescent="0.3">
      <c r="A75">
        <v>202102</v>
      </c>
      <c r="B75">
        <v>14529.15</v>
      </c>
    </row>
    <row r="76" spans="1:2" x14ac:dyDescent="0.3">
      <c r="A76">
        <v>202103</v>
      </c>
      <c r="B76">
        <v>14690.7</v>
      </c>
    </row>
    <row r="77" spans="1:2" x14ac:dyDescent="0.3">
      <c r="A77">
        <v>202104</v>
      </c>
      <c r="B77">
        <v>14631.1</v>
      </c>
    </row>
    <row r="78" spans="1:2" x14ac:dyDescent="0.3">
      <c r="A78">
        <v>202105</v>
      </c>
      <c r="B78">
        <v>15582.8</v>
      </c>
    </row>
    <row r="79" spans="1:2" x14ac:dyDescent="0.3">
      <c r="A79">
        <v>202106</v>
      </c>
      <c r="B79">
        <v>15721.5</v>
      </c>
    </row>
    <row r="80" spans="1:2" x14ac:dyDescent="0.3">
      <c r="A80">
        <v>202107</v>
      </c>
      <c r="B80">
        <v>15763.05</v>
      </c>
    </row>
    <row r="81" spans="1:2" x14ac:dyDescent="0.3">
      <c r="A81">
        <v>202108</v>
      </c>
      <c r="B81">
        <v>17132.2</v>
      </c>
    </row>
    <row r="82" spans="1:2" x14ac:dyDescent="0.3">
      <c r="A82">
        <v>202109</v>
      </c>
      <c r="B82">
        <v>17618.150000000001</v>
      </c>
    </row>
    <row r="83" spans="1:2" x14ac:dyDescent="0.3">
      <c r="A83">
        <v>202110</v>
      </c>
      <c r="B83">
        <v>17671.650000000001</v>
      </c>
    </row>
    <row r="84" spans="1:2" x14ac:dyDescent="0.3">
      <c r="A84">
        <v>202111</v>
      </c>
      <c r="B84">
        <v>16983.2</v>
      </c>
    </row>
    <row r="85" spans="1:2" x14ac:dyDescent="0.3">
      <c r="A85">
        <v>202112</v>
      </c>
      <c r="B85">
        <v>17354.05</v>
      </c>
    </row>
    <row r="86" spans="1:2" x14ac:dyDescent="0.3">
      <c r="A86">
        <v>202201</v>
      </c>
      <c r="B86">
        <v>17339.849999999999</v>
      </c>
    </row>
    <row r="87" spans="1:2" x14ac:dyDescent="0.3">
      <c r="A87">
        <v>202202</v>
      </c>
      <c r="B87">
        <v>16793.900000000001</v>
      </c>
    </row>
    <row r="88" spans="1:2" x14ac:dyDescent="0.3">
      <c r="A88">
        <v>202203</v>
      </c>
      <c r="B88">
        <v>17464.75</v>
      </c>
    </row>
    <row r="89" spans="1:2" x14ac:dyDescent="0.3">
      <c r="A89">
        <v>202204</v>
      </c>
      <c r="B89">
        <v>17102.55</v>
      </c>
    </row>
    <row r="90" spans="1:2" x14ac:dyDescent="0.3">
      <c r="A90">
        <v>202205</v>
      </c>
      <c r="B90">
        <v>16584.55</v>
      </c>
    </row>
    <row r="91" spans="1:2" x14ac:dyDescent="0.3">
      <c r="A91">
        <v>202206</v>
      </c>
      <c r="B91">
        <v>15780.25</v>
      </c>
    </row>
    <row r="92" spans="1:2" x14ac:dyDescent="0.3">
      <c r="A92">
        <v>202207</v>
      </c>
      <c r="B92">
        <v>17158.25</v>
      </c>
    </row>
    <row r="93" spans="1:2" x14ac:dyDescent="0.3">
      <c r="A93">
        <v>202208</v>
      </c>
      <c r="B93">
        <v>17759.3</v>
      </c>
    </row>
    <row r="94" spans="1:2" x14ac:dyDescent="0.3">
      <c r="A94">
        <v>202209</v>
      </c>
      <c r="B94">
        <v>17094.349999999999</v>
      </c>
    </row>
    <row r="95" spans="1:2" x14ac:dyDescent="0.3">
      <c r="A95">
        <v>202210</v>
      </c>
      <c r="B95">
        <v>18012.2</v>
      </c>
    </row>
    <row r="96" spans="1:2" x14ac:dyDescent="0.3">
      <c r="A96">
        <v>202211</v>
      </c>
      <c r="B96">
        <v>18758.349999999999</v>
      </c>
    </row>
    <row r="97" spans="1:2" x14ac:dyDescent="0.3">
      <c r="A97">
        <v>202212</v>
      </c>
      <c r="B97">
        <v>18105.3</v>
      </c>
    </row>
    <row r="98" spans="1:2" x14ac:dyDescent="0.3">
      <c r="A98">
        <v>202301</v>
      </c>
      <c r="B98">
        <v>17662.150000000001</v>
      </c>
    </row>
    <row r="99" spans="1:2" x14ac:dyDescent="0.3">
      <c r="A99">
        <v>202302</v>
      </c>
      <c r="B99">
        <v>17303.95</v>
      </c>
    </row>
    <row r="100" spans="1:2" x14ac:dyDescent="0.3">
      <c r="A100">
        <v>202303</v>
      </c>
      <c r="B100">
        <v>17359.75</v>
      </c>
    </row>
    <row r="101" spans="1:2" x14ac:dyDescent="0.3">
      <c r="A101">
        <v>202304</v>
      </c>
      <c r="B101">
        <v>18065</v>
      </c>
    </row>
    <row r="102" spans="1:2" x14ac:dyDescent="0.3">
      <c r="A102">
        <v>202305</v>
      </c>
      <c r="B102">
        <v>18534.400000000001</v>
      </c>
    </row>
    <row r="103" spans="1:2" x14ac:dyDescent="0.3">
      <c r="A103">
        <v>202306</v>
      </c>
      <c r="B103">
        <v>19189.05</v>
      </c>
    </row>
    <row r="104" spans="1:2" x14ac:dyDescent="0.3">
      <c r="A104">
        <v>202307</v>
      </c>
      <c r="B104">
        <v>19753.8</v>
      </c>
    </row>
    <row r="105" spans="1:2" x14ac:dyDescent="0.3">
      <c r="A105">
        <v>202308</v>
      </c>
      <c r="B105">
        <v>19253.8</v>
      </c>
    </row>
    <row r="106" spans="1:2" x14ac:dyDescent="0.3">
      <c r="A106">
        <v>202309</v>
      </c>
      <c r="B106">
        <v>19638.3</v>
      </c>
    </row>
    <row r="107" spans="1:2" x14ac:dyDescent="0.3">
      <c r="A107">
        <v>202310</v>
      </c>
      <c r="B107">
        <v>19079.599999999999</v>
      </c>
    </row>
    <row r="108" spans="1:2" x14ac:dyDescent="0.3">
      <c r="A108">
        <v>202311</v>
      </c>
      <c r="B108">
        <v>20133.150000000001</v>
      </c>
    </row>
    <row r="109" spans="1:2" x14ac:dyDescent="0.3">
      <c r="A109">
        <v>202312</v>
      </c>
      <c r="B109">
        <v>21731.4</v>
      </c>
    </row>
    <row r="110" spans="1:2" x14ac:dyDescent="0.3">
      <c r="A110">
        <v>202401</v>
      </c>
      <c r="B110">
        <v>21725.7</v>
      </c>
    </row>
    <row r="111" spans="1:2" x14ac:dyDescent="0.3">
      <c r="A111">
        <v>202402</v>
      </c>
      <c r="B111">
        <v>21982.799999999999</v>
      </c>
    </row>
    <row r="112" spans="1:2" x14ac:dyDescent="0.3">
      <c r="A112">
        <v>202403</v>
      </c>
      <c r="B112">
        <v>22326.9</v>
      </c>
    </row>
    <row r="113" spans="1:2" x14ac:dyDescent="0.3">
      <c r="A113">
        <v>202404</v>
      </c>
      <c r="B113">
        <v>22604.85</v>
      </c>
    </row>
    <row r="114" spans="1:2" x14ac:dyDescent="0.3">
      <c r="A114">
        <v>202405</v>
      </c>
      <c r="B114">
        <v>22530.7</v>
      </c>
    </row>
    <row r="115" spans="1:2" x14ac:dyDescent="0.3">
      <c r="A115">
        <v>202406</v>
      </c>
      <c r="B115">
        <v>24010.6</v>
      </c>
    </row>
    <row r="116" spans="1:2" x14ac:dyDescent="0.3">
      <c r="A116">
        <v>202407</v>
      </c>
      <c r="B116">
        <v>24951.15</v>
      </c>
    </row>
    <row r="117" spans="1:2" x14ac:dyDescent="0.3">
      <c r="A117">
        <v>202408</v>
      </c>
      <c r="B117">
        <v>25235.9</v>
      </c>
    </row>
    <row r="118" spans="1:2" x14ac:dyDescent="0.3">
      <c r="A118">
        <v>202409</v>
      </c>
      <c r="B118">
        <v>25810.85</v>
      </c>
    </row>
    <row r="119" spans="1:2" x14ac:dyDescent="0.3">
      <c r="A119">
        <v>202410</v>
      </c>
      <c r="B119">
        <v>24205.35</v>
      </c>
    </row>
    <row r="120" spans="1:2" x14ac:dyDescent="0.3">
      <c r="A120">
        <v>202411</v>
      </c>
      <c r="B120">
        <v>24131.1</v>
      </c>
    </row>
    <row r="121" spans="1:2" x14ac:dyDescent="0.3">
      <c r="A121">
        <v>202412</v>
      </c>
      <c r="B121">
        <v>23644.799999999999</v>
      </c>
    </row>
    <row r="122" spans="1:2" x14ac:dyDescent="0.3">
      <c r="A122">
        <v>202501</v>
      </c>
      <c r="B122">
        <v>23508.400000000001</v>
      </c>
    </row>
    <row r="123" spans="1:2" x14ac:dyDescent="0.3">
      <c r="A123">
        <v>202502</v>
      </c>
      <c r="B123">
        <v>22124.7</v>
      </c>
    </row>
    <row r="124" spans="1:2" x14ac:dyDescent="0.3">
      <c r="A124">
        <v>202503</v>
      </c>
      <c r="B124">
        <v>23519.35</v>
      </c>
    </row>
    <row r="125" spans="1:2" x14ac:dyDescent="0.3">
      <c r="A125">
        <v>202504</v>
      </c>
      <c r="B125">
        <v>24334.2</v>
      </c>
    </row>
    <row r="126" spans="1:2" x14ac:dyDescent="0.3">
      <c r="A126">
        <v>202505</v>
      </c>
      <c r="B126">
        <v>24750.7</v>
      </c>
    </row>
    <row r="127" spans="1:2" x14ac:dyDescent="0.3">
      <c r="A127">
        <v>202506</v>
      </c>
      <c r="B127">
        <v>25517.05</v>
      </c>
    </row>
    <row r="128" spans="1:2" x14ac:dyDescent="0.3">
      <c r="A128">
        <v>202507</v>
      </c>
      <c r="B128">
        <v>24768.35</v>
      </c>
    </row>
    <row r="129" spans="1:1" x14ac:dyDescent="0.3">
      <c r="A129">
        <v>202508</v>
      </c>
    </row>
    <row r="130" spans="1:1" x14ac:dyDescent="0.3">
      <c r="A130">
        <v>202509</v>
      </c>
    </row>
    <row r="131" spans="1:1" x14ac:dyDescent="0.3">
      <c r="A131">
        <v>202510</v>
      </c>
    </row>
    <row r="132" spans="1:1" x14ac:dyDescent="0.3">
      <c r="A132">
        <v>202511</v>
      </c>
    </row>
    <row r="133" spans="1:1" x14ac:dyDescent="0.3">
      <c r="A133">
        <v>202512</v>
      </c>
    </row>
    <row r="134" spans="1:1" x14ac:dyDescent="0.3">
      <c r="A134">
        <v>202601</v>
      </c>
    </row>
    <row r="135" spans="1:1" x14ac:dyDescent="0.3">
      <c r="A135">
        <v>202602</v>
      </c>
    </row>
    <row r="136" spans="1:1" x14ac:dyDescent="0.3">
      <c r="A136">
        <v>202603</v>
      </c>
    </row>
    <row r="137" spans="1:1" x14ac:dyDescent="0.3">
      <c r="A137">
        <v>202604</v>
      </c>
    </row>
    <row r="138" spans="1:1" x14ac:dyDescent="0.3">
      <c r="A138">
        <v>202605</v>
      </c>
    </row>
    <row r="139" spans="1:1" x14ac:dyDescent="0.3">
      <c r="A139">
        <v>202606</v>
      </c>
    </row>
    <row r="140" spans="1:1" x14ac:dyDescent="0.3">
      <c r="A140">
        <v>202607</v>
      </c>
    </row>
    <row r="141" spans="1:1" x14ac:dyDescent="0.3">
      <c r="A141">
        <v>202608</v>
      </c>
    </row>
    <row r="142" spans="1:1" x14ac:dyDescent="0.3">
      <c r="A142">
        <v>202609</v>
      </c>
    </row>
    <row r="143" spans="1:1" x14ac:dyDescent="0.3">
      <c r="A143">
        <v>202610</v>
      </c>
    </row>
    <row r="144" spans="1:1" x14ac:dyDescent="0.3">
      <c r="A144">
        <v>202611</v>
      </c>
    </row>
    <row r="145" spans="1:1" x14ac:dyDescent="0.3">
      <c r="A145">
        <v>202612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A63B-D044-4EC2-B943-AEA8B375756A}">
  <dimension ref="A1:W40"/>
  <sheetViews>
    <sheetView topLeftCell="E1" zoomScale="70" zoomScaleNormal="70" workbookViewId="0">
      <selection activeCell="S1" sqref="S1"/>
    </sheetView>
  </sheetViews>
  <sheetFormatPr defaultRowHeight="14.4" x14ac:dyDescent="0.3"/>
  <cols>
    <col min="4" max="4" width="10.5546875" bestFit="1" customWidth="1"/>
    <col min="5" max="5" width="7.5546875" bestFit="1" customWidth="1"/>
    <col min="10" max="10" width="13.33203125" bestFit="1" customWidth="1"/>
    <col min="11" max="11" width="10" bestFit="1" customWidth="1"/>
    <col min="14" max="14" width="10.77734375" bestFit="1" customWidth="1"/>
    <col min="15" max="15" width="8.5546875" bestFit="1" customWidth="1"/>
    <col min="16" max="16" width="10.5546875" bestFit="1" customWidth="1"/>
    <col min="17" max="17" width="7.77734375" bestFit="1" customWidth="1"/>
    <col min="21" max="22" width="10.77734375" bestFit="1" customWidth="1"/>
    <col min="23" max="23" width="8.5546875" bestFit="1" customWidth="1"/>
  </cols>
  <sheetData>
    <row r="1" spans="10:23" ht="15.6" x14ac:dyDescent="0.3">
      <c r="J1" s="3"/>
      <c r="K1" s="3" t="s">
        <v>2</v>
      </c>
      <c r="M1" s="2" t="s">
        <v>16</v>
      </c>
      <c r="N1" s="2"/>
      <c r="S1" s="9" t="s">
        <v>16</v>
      </c>
      <c r="T1" s="9"/>
      <c r="U1" s="10"/>
      <c r="V1" s="10"/>
      <c r="W1" s="10"/>
    </row>
    <row r="2" spans="10:23" ht="15.6" x14ac:dyDescent="0.3">
      <c r="J2" t="s">
        <v>3</v>
      </c>
      <c r="K2">
        <v>14125.85</v>
      </c>
      <c r="P2" s="2" t="s">
        <v>18</v>
      </c>
      <c r="Q2" s="2" t="s">
        <v>19</v>
      </c>
      <c r="S2" s="8"/>
      <c r="T2" s="8"/>
      <c r="U2" s="8"/>
      <c r="V2" s="11" t="s">
        <v>18</v>
      </c>
      <c r="W2" s="11" t="s">
        <v>19</v>
      </c>
    </row>
    <row r="3" spans="10:23" ht="15.6" x14ac:dyDescent="0.3">
      <c r="J3" t="s">
        <v>4</v>
      </c>
      <c r="K3">
        <v>11748.15</v>
      </c>
      <c r="M3" t="s">
        <v>20</v>
      </c>
      <c r="P3">
        <v>0.49542399999999998</v>
      </c>
      <c r="Q3">
        <v>0.98599999999999999</v>
      </c>
      <c r="S3" s="7" t="s">
        <v>20</v>
      </c>
      <c r="T3" s="7"/>
      <c r="U3" s="7"/>
      <c r="V3" s="7">
        <v>-10.90704</v>
      </c>
      <c r="W3" s="7">
        <v>0</v>
      </c>
    </row>
    <row r="4" spans="10:23" ht="15.6" x14ac:dyDescent="0.3">
      <c r="J4" t="s">
        <v>5</v>
      </c>
      <c r="K4">
        <v>25810.85</v>
      </c>
      <c r="M4" t="s">
        <v>21</v>
      </c>
      <c r="N4" t="s">
        <v>22</v>
      </c>
      <c r="P4">
        <v>-3.4828790000000001</v>
      </c>
      <c r="S4" s="8" t="s">
        <v>21</v>
      </c>
      <c r="T4" s="8" t="s">
        <v>22</v>
      </c>
      <c r="U4" s="8"/>
      <c r="V4" s="8">
        <v>-3.4833120000000002</v>
      </c>
      <c r="W4" s="8"/>
    </row>
    <row r="5" spans="10:23" ht="15.6" x14ac:dyDescent="0.3">
      <c r="J5" t="s">
        <v>6</v>
      </c>
      <c r="K5">
        <v>6987.05</v>
      </c>
      <c r="N5" t="s">
        <v>23</v>
      </c>
      <c r="P5">
        <v>-2.884477</v>
      </c>
      <c r="S5" s="8"/>
      <c r="T5" s="8" t="s">
        <v>23</v>
      </c>
      <c r="U5" s="8"/>
      <c r="V5" s="8">
        <v>-2.884665</v>
      </c>
      <c r="W5" s="8"/>
    </row>
    <row r="6" spans="10:23" ht="15.6" x14ac:dyDescent="0.3">
      <c r="J6" t="s">
        <v>7</v>
      </c>
      <c r="K6">
        <v>5432.549</v>
      </c>
      <c r="N6" t="s">
        <v>24</v>
      </c>
      <c r="P6">
        <v>-2.5790799999999998</v>
      </c>
      <c r="S6" s="8"/>
      <c r="T6" s="8" t="s">
        <v>24</v>
      </c>
      <c r="U6" s="8"/>
      <c r="V6" s="8">
        <v>-2.57918</v>
      </c>
      <c r="W6" s="8"/>
    </row>
    <row r="7" spans="10:23" ht="15.6" x14ac:dyDescent="0.3">
      <c r="J7" t="s">
        <v>8</v>
      </c>
      <c r="K7">
        <v>0.63703500000000002</v>
      </c>
      <c r="M7" t="s">
        <v>27</v>
      </c>
      <c r="S7" s="10" t="s">
        <v>27</v>
      </c>
      <c r="T7" s="10"/>
      <c r="U7" s="10"/>
      <c r="V7" s="10"/>
      <c r="W7" s="10"/>
    </row>
    <row r="8" spans="10:23" ht="15.6" x14ac:dyDescent="0.3">
      <c r="J8" t="s">
        <v>9</v>
      </c>
      <c r="K8">
        <v>2.1319240000000002</v>
      </c>
      <c r="P8" s="2" t="s">
        <v>18</v>
      </c>
      <c r="Q8" s="2" t="s">
        <v>19</v>
      </c>
      <c r="S8" s="8"/>
      <c r="T8" s="8"/>
      <c r="U8" s="8"/>
      <c r="V8" s="11" t="s">
        <v>18</v>
      </c>
      <c r="W8" s="11" t="s">
        <v>19</v>
      </c>
    </row>
    <row r="9" spans="10:23" ht="15.6" x14ac:dyDescent="0.3">
      <c r="J9" t="s">
        <v>10</v>
      </c>
      <c r="K9">
        <v>12.57728</v>
      </c>
      <c r="M9" t="s">
        <v>20</v>
      </c>
      <c r="P9">
        <v>-2.4177089999999999</v>
      </c>
      <c r="Q9">
        <v>0.36870000000000003</v>
      </c>
      <c r="S9" s="7" t="s">
        <v>20</v>
      </c>
      <c r="T9" s="7"/>
      <c r="U9" s="7"/>
      <c r="V9" s="7">
        <v>-11.01942</v>
      </c>
      <c r="W9" s="7">
        <v>0</v>
      </c>
    </row>
    <row r="10" spans="10:23" ht="15.6" x14ac:dyDescent="0.3">
      <c r="J10" t="s">
        <v>11</v>
      </c>
      <c r="K10">
        <v>1.8569999999999999E-3</v>
      </c>
      <c r="M10" t="s">
        <v>21</v>
      </c>
      <c r="N10" t="s">
        <v>22</v>
      </c>
      <c r="P10">
        <v>-4.0324980000000004</v>
      </c>
      <c r="S10" s="8" t="s">
        <v>21</v>
      </c>
      <c r="T10" s="8" t="s">
        <v>22</v>
      </c>
      <c r="U10" s="8"/>
      <c r="V10" s="8">
        <v>-4.0331080000000004</v>
      </c>
      <c r="W10" s="8"/>
    </row>
    <row r="11" spans="10:23" ht="15.6" x14ac:dyDescent="0.3">
      <c r="J11" t="s">
        <v>12</v>
      </c>
      <c r="K11">
        <v>1793983</v>
      </c>
      <c r="N11" t="s">
        <v>23</v>
      </c>
      <c r="P11">
        <v>-3.4458769999999999</v>
      </c>
      <c r="S11" s="8"/>
      <c r="T11" s="8" t="s">
        <v>23</v>
      </c>
      <c r="U11" s="8"/>
      <c r="V11" s="8">
        <v>-3.4461680000000001</v>
      </c>
      <c r="W11" s="8"/>
    </row>
    <row r="12" spans="10:23" ht="15.6" x14ac:dyDescent="0.3">
      <c r="J12" t="s">
        <v>13</v>
      </c>
      <c r="K12" s="1">
        <v>3720000000</v>
      </c>
      <c r="N12" t="s">
        <v>24</v>
      </c>
      <c r="P12">
        <v>-3.147878</v>
      </c>
      <c r="S12" s="8"/>
      <c r="T12" s="8" t="s">
        <v>24</v>
      </c>
      <c r="U12" s="8"/>
      <c r="V12" s="8">
        <v>-3.1480489999999999</v>
      </c>
      <c r="W12" s="8"/>
    </row>
    <row r="13" spans="10:23" ht="15.6" x14ac:dyDescent="0.3">
      <c r="J13" s="4" t="s">
        <v>14</v>
      </c>
      <c r="K13" s="4">
        <v>127</v>
      </c>
      <c r="M13" t="s">
        <v>26</v>
      </c>
      <c r="S13" s="10" t="s">
        <v>26</v>
      </c>
      <c r="T13" s="10"/>
      <c r="U13" s="10"/>
      <c r="V13" s="10"/>
      <c r="W13" s="10"/>
    </row>
    <row r="14" spans="10:23" ht="15.6" x14ac:dyDescent="0.3">
      <c r="P14" s="2" t="s">
        <v>18</v>
      </c>
      <c r="Q14" s="2" t="s">
        <v>19</v>
      </c>
      <c r="S14" s="7"/>
      <c r="T14" s="7"/>
      <c r="U14" s="7"/>
      <c r="V14" s="12" t="s">
        <v>18</v>
      </c>
      <c r="W14" s="12" t="s">
        <v>19</v>
      </c>
    </row>
    <row r="15" spans="10:23" ht="15.6" x14ac:dyDescent="0.3">
      <c r="M15" t="s">
        <v>20</v>
      </c>
      <c r="P15">
        <v>2.3110659999999998</v>
      </c>
      <c r="Q15">
        <v>0.995</v>
      </c>
      <c r="S15" s="8" t="s">
        <v>20</v>
      </c>
      <c r="T15" s="8"/>
      <c r="U15" s="8"/>
      <c r="V15" s="8">
        <v>-10.52613</v>
      </c>
      <c r="W15" s="8">
        <v>0</v>
      </c>
    </row>
    <row r="16" spans="10:23" ht="15.6" x14ac:dyDescent="0.3">
      <c r="M16" t="s">
        <v>21</v>
      </c>
      <c r="N16" t="s">
        <v>22</v>
      </c>
      <c r="P16">
        <v>-2.5834440000000001</v>
      </c>
      <c r="S16" s="8" t="s">
        <v>21</v>
      </c>
      <c r="T16" s="8" t="s">
        <v>22</v>
      </c>
      <c r="U16" s="8"/>
      <c r="V16" s="8">
        <v>-2.583593</v>
      </c>
      <c r="W16" s="8"/>
    </row>
    <row r="17" spans="1:23" ht="15.6" x14ac:dyDescent="0.3">
      <c r="N17" t="s">
        <v>23</v>
      </c>
      <c r="P17">
        <v>-1.9433849999999999</v>
      </c>
      <c r="S17" s="8"/>
      <c r="T17" s="8" t="s">
        <v>23</v>
      </c>
      <c r="U17" s="8"/>
      <c r="V17" s="8">
        <v>-1.943406</v>
      </c>
      <c r="W17" s="8"/>
    </row>
    <row r="18" spans="1:23" ht="15.6" x14ac:dyDescent="0.3">
      <c r="N18" t="s">
        <v>24</v>
      </c>
      <c r="P18">
        <v>-1.6150370000000001</v>
      </c>
      <c r="S18" s="8"/>
      <c r="T18" s="8" t="s">
        <v>24</v>
      </c>
      <c r="U18" s="8"/>
      <c r="V18" s="8">
        <v>-1.615024</v>
      </c>
      <c r="W18" s="8"/>
    </row>
    <row r="20" spans="1:23" x14ac:dyDescent="0.3">
      <c r="A20" t="s">
        <v>15</v>
      </c>
    </row>
    <row r="21" spans="1:23" x14ac:dyDescent="0.3">
      <c r="A21" s="16" t="s">
        <v>16</v>
      </c>
      <c r="B21" s="16"/>
      <c r="C21" s="16"/>
      <c r="D21" s="16"/>
      <c r="E21" s="16"/>
    </row>
    <row r="22" spans="1:23" x14ac:dyDescent="0.3">
      <c r="A22" s="4" t="s">
        <v>17</v>
      </c>
      <c r="B22" s="4"/>
      <c r="C22" s="4"/>
      <c r="D22" s="4"/>
      <c r="E22" s="4"/>
    </row>
    <row r="23" spans="1:23" ht="15.6" x14ac:dyDescent="0.3">
      <c r="A23" s="3"/>
      <c r="B23" s="3"/>
      <c r="C23" s="3"/>
      <c r="D23" s="3" t="s">
        <v>18</v>
      </c>
      <c r="E23" s="3" t="s">
        <v>19</v>
      </c>
      <c r="K23" s="17" t="s">
        <v>16</v>
      </c>
      <c r="L23" s="17"/>
      <c r="M23" s="17"/>
      <c r="N23" s="17"/>
      <c r="O23" s="17"/>
      <c r="R23" s="17" t="s">
        <v>16</v>
      </c>
      <c r="S23" s="17"/>
      <c r="T23" s="17"/>
      <c r="U23" s="17"/>
      <c r="V23" s="17"/>
    </row>
    <row r="24" spans="1:23" ht="15.6" x14ac:dyDescent="0.3">
      <c r="A24" t="s">
        <v>20</v>
      </c>
      <c r="D24">
        <v>0.49542399999999998</v>
      </c>
      <c r="E24">
        <v>0.98599999999999999</v>
      </c>
      <c r="K24" s="5"/>
      <c r="L24" s="5"/>
      <c r="M24" s="5"/>
      <c r="N24" s="6" t="s">
        <v>18</v>
      </c>
      <c r="O24" s="6" t="s">
        <v>19</v>
      </c>
      <c r="R24" s="5"/>
      <c r="S24" s="5"/>
      <c r="T24" s="5"/>
      <c r="U24" s="6" t="s">
        <v>18</v>
      </c>
      <c r="V24" s="6" t="s">
        <v>19</v>
      </c>
    </row>
    <row r="25" spans="1:23" ht="15.6" x14ac:dyDescent="0.3">
      <c r="A25" t="s">
        <v>21</v>
      </c>
      <c r="B25" t="s">
        <v>22</v>
      </c>
      <c r="D25">
        <v>-3.4828790000000001</v>
      </c>
      <c r="K25" s="7" t="s">
        <v>20</v>
      </c>
      <c r="L25" s="7"/>
      <c r="M25" s="7"/>
      <c r="N25" s="7">
        <v>-10.90704</v>
      </c>
      <c r="O25" s="7">
        <v>0</v>
      </c>
      <c r="R25" s="7" t="s">
        <v>20</v>
      </c>
      <c r="S25" s="7"/>
      <c r="T25" s="7"/>
      <c r="U25" s="7">
        <v>0.49542399999999998</v>
      </c>
      <c r="V25" s="7">
        <v>0.98599999999999999</v>
      </c>
    </row>
    <row r="26" spans="1:23" ht="15.6" x14ac:dyDescent="0.3">
      <c r="B26" t="s">
        <v>23</v>
      </c>
      <c r="D26">
        <v>-2.884477</v>
      </c>
      <c r="K26" s="8" t="s">
        <v>21</v>
      </c>
      <c r="L26" s="8" t="s">
        <v>22</v>
      </c>
      <c r="M26" s="8"/>
      <c r="N26" s="8">
        <v>-3.4833120000000002</v>
      </c>
      <c r="O26" s="8"/>
      <c r="R26" s="8" t="s">
        <v>21</v>
      </c>
      <c r="S26" s="8" t="s">
        <v>22</v>
      </c>
      <c r="T26" s="8"/>
      <c r="U26" s="8">
        <v>-3.4828790000000001</v>
      </c>
      <c r="V26" s="8"/>
    </row>
    <row r="27" spans="1:23" ht="15.6" x14ac:dyDescent="0.3">
      <c r="B27" t="s">
        <v>24</v>
      </c>
      <c r="D27">
        <v>-2.5790799999999998</v>
      </c>
      <c r="K27" s="8"/>
      <c r="L27" s="8" t="s">
        <v>23</v>
      </c>
      <c r="M27" s="8"/>
      <c r="N27" s="8">
        <v>-2.884665</v>
      </c>
      <c r="O27" s="8"/>
      <c r="R27" s="8"/>
      <c r="S27" s="8" t="s">
        <v>23</v>
      </c>
      <c r="T27" s="8"/>
      <c r="U27" s="8">
        <v>-2.884477</v>
      </c>
      <c r="V27" s="8"/>
    </row>
    <row r="28" spans="1:23" ht="15.6" x14ac:dyDescent="0.3">
      <c r="A28" t="s">
        <v>25</v>
      </c>
      <c r="K28" s="8"/>
      <c r="L28" s="8" t="s">
        <v>24</v>
      </c>
      <c r="M28" s="8"/>
      <c r="N28" s="8">
        <v>-2.57918</v>
      </c>
      <c r="O28" s="8"/>
      <c r="R28" s="7"/>
      <c r="S28" s="7" t="s">
        <v>24</v>
      </c>
      <c r="T28" s="7"/>
      <c r="U28" s="7">
        <v>-2.5790799999999998</v>
      </c>
      <c r="V28" s="7"/>
    </row>
    <row r="29" spans="1:23" ht="15.6" x14ac:dyDescent="0.3">
      <c r="K29" s="17" t="s">
        <v>27</v>
      </c>
      <c r="L29" s="17"/>
      <c r="M29" s="17"/>
      <c r="N29" s="17"/>
      <c r="O29" s="17"/>
      <c r="R29" s="18" t="s">
        <v>27</v>
      </c>
      <c r="S29" s="18"/>
      <c r="T29" s="18"/>
      <c r="U29" s="18"/>
      <c r="V29" s="18"/>
    </row>
    <row r="30" spans="1:23" ht="15.6" x14ac:dyDescent="0.3">
      <c r="K30" s="7"/>
      <c r="L30" s="7"/>
      <c r="M30" s="7"/>
      <c r="N30" s="12" t="s">
        <v>18</v>
      </c>
      <c r="O30" s="12" t="s">
        <v>19</v>
      </c>
      <c r="R30" s="5"/>
      <c r="S30" s="5"/>
      <c r="T30" s="5"/>
      <c r="U30" s="6" t="s">
        <v>18</v>
      </c>
      <c r="V30" s="6" t="s">
        <v>19</v>
      </c>
    </row>
    <row r="31" spans="1:23" ht="15.6" x14ac:dyDescent="0.3">
      <c r="K31" s="7" t="s">
        <v>20</v>
      </c>
      <c r="L31" s="7"/>
      <c r="M31" s="7"/>
      <c r="N31" s="7">
        <v>-11.01942</v>
      </c>
      <c r="O31" s="7">
        <v>0</v>
      </c>
      <c r="R31" s="7" t="s">
        <v>20</v>
      </c>
      <c r="S31" s="7"/>
      <c r="T31" s="7"/>
      <c r="U31" s="7">
        <v>-2.4177089999999999</v>
      </c>
      <c r="V31" s="7">
        <v>0.36870000000000003</v>
      </c>
    </row>
    <row r="32" spans="1:23" ht="15.6" x14ac:dyDescent="0.3">
      <c r="K32" s="8" t="s">
        <v>21</v>
      </c>
      <c r="L32" s="8" t="s">
        <v>22</v>
      </c>
      <c r="M32" s="8"/>
      <c r="N32" s="8">
        <v>-4.0331080000000004</v>
      </c>
      <c r="O32" s="8"/>
      <c r="R32" s="8" t="s">
        <v>21</v>
      </c>
      <c r="S32" s="8" t="s">
        <v>22</v>
      </c>
      <c r="T32" s="8"/>
      <c r="U32" s="8">
        <v>-4.0324980000000004</v>
      </c>
      <c r="V32" s="8"/>
    </row>
    <row r="33" spans="11:22" ht="15.6" x14ac:dyDescent="0.3">
      <c r="K33" s="8"/>
      <c r="L33" s="8" t="s">
        <v>23</v>
      </c>
      <c r="M33" s="8"/>
      <c r="N33" s="8">
        <v>-3.4461680000000001</v>
      </c>
      <c r="O33" s="8"/>
      <c r="R33" s="8"/>
      <c r="S33" s="8" t="s">
        <v>23</v>
      </c>
      <c r="T33" s="8"/>
      <c r="U33" s="8">
        <v>-3.4458769999999999</v>
      </c>
      <c r="V33" s="8"/>
    </row>
    <row r="34" spans="11:22" ht="15.6" x14ac:dyDescent="0.3">
      <c r="K34" s="8"/>
      <c r="L34" s="8" t="s">
        <v>24</v>
      </c>
      <c r="M34" s="8"/>
      <c r="N34" s="8">
        <v>-3.1480489999999999</v>
      </c>
      <c r="O34" s="8"/>
      <c r="R34" s="7"/>
      <c r="S34" s="7" t="s">
        <v>24</v>
      </c>
      <c r="T34" s="7"/>
      <c r="U34" s="7">
        <v>-3.147878</v>
      </c>
      <c r="V34" s="7"/>
    </row>
    <row r="35" spans="11:22" ht="15.6" x14ac:dyDescent="0.3">
      <c r="K35" s="17" t="s">
        <v>26</v>
      </c>
      <c r="L35" s="17"/>
      <c r="M35" s="17"/>
      <c r="N35" s="17"/>
      <c r="O35" s="17"/>
      <c r="R35" s="18" t="s">
        <v>26</v>
      </c>
      <c r="S35" s="18"/>
      <c r="T35" s="18"/>
      <c r="U35" s="18"/>
      <c r="V35" s="18"/>
    </row>
    <row r="36" spans="11:22" ht="15.6" x14ac:dyDescent="0.3">
      <c r="K36" s="7"/>
      <c r="L36" s="7"/>
      <c r="M36" s="7"/>
      <c r="N36" s="12" t="s">
        <v>18</v>
      </c>
      <c r="O36" s="12" t="s">
        <v>19</v>
      </c>
      <c r="R36" s="5"/>
      <c r="S36" s="5"/>
      <c r="T36" s="5"/>
      <c r="U36" s="6" t="s">
        <v>18</v>
      </c>
      <c r="V36" s="6" t="s">
        <v>19</v>
      </c>
    </row>
    <row r="37" spans="11:22" ht="15.6" x14ac:dyDescent="0.3">
      <c r="K37" s="8" t="s">
        <v>20</v>
      </c>
      <c r="L37" s="8"/>
      <c r="M37" s="8"/>
      <c r="N37" s="8">
        <v>-10.52613</v>
      </c>
      <c r="O37" s="8">
        <v>0</v>
      </c>
      <c r="R37" s="7" t="s">
        <v>20</v>
      </c>
      <c r="S37" s="7"/>
      <c r="T37" s="7"/>
      <c r="U37" s="7">
        <v>2.3110659999999998</v>
      </c>
      <c r="V37" s="7">
        <v>0.995</v>
      </c>
    </row>
    <row r="38" spans="11:22" ht="15.6" x14ac:dyDescent="0.3">
      <c r="K38" s="8" t="s">
        <v>21</v>
      </c>
      <c r="L38" s="8" t="s">
        <v>22</v>
      </c>
      <c r="M38" s="8"/>
      <c r="N38" s="8">
        <v>-2.583593</v>
      </c>
      <c r="O38" s="8"/>
      <c r="R38" s="8" t="s">
        <v>21</v>
      </c>
      <c r="S38" s="8" t="s">
        <v>22</v>
      </c>
      <c r="T38" s="8"/>
      <c r="U38" s="8">
        <v>-2.5834440000000001</v>
      </c>
      <c r="V38" s="8"/>
    </row>
    <row r="39" spans="11:22" ht="15.6" x14ac:dyDescent="0.3">
      <c r="K39" s="8"/>
      <c r="L39" s="8" t="s">
        <v>23</v>
      </c>
      <c r="M39" s="8"/>
      <c r="N39" s="8">
        <v>-1.943406</v>
      </c>
      <c r="O39" s="8"/>
      <c r="R39" s="8"/>
      <c r="S39" s="8" t="s">
        <v>23</v>
      </c>
      <c r="T39" s="8"/>
      <c r="U39" s="8">
        <v>-1.9433849999999999</v>
      </c>
      <c r="V39" s="8"/>
    </row>
    <row r="40" spans="11:22" ht="15.6" x14ac:dyDescent="0.3">
      <c r="K40" s="8"/>
      <c r="L40" s="8" t="s">
        <v>24</v>
      </c>
      <c r="M40" s="8"/>
      <c r="N40" s="8">
        <v>-1.615024</v>
      </c>
      <c r="O40" s="8"/>
      <c r="R40" s="7"/>
      <c r="S40" s="7" t="s">
        <v>24</v>
      </c>
      <c r="T40" s="7"/>
      <c r="U40" s="7">
        <v>-1.6150370000000001</v>
      </c>
      <c r="V40" s="7"/>
    </row>
  </sheetData>
  <mergeCells count="7">
    <mergeCell ref="A21:E21"/>
    <mergeCell ref="R23:V23"/>
    <mergeCell ref="R29:V29"/>
    <mergeCell ref="R35:V35"/>
    <mergeCell ref="K23:O23"/>
    <mergeCell ref="K29:O29"/>
    <mergeCell ref="K35:O35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Views.Workfile.2" shapeId="2049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7</xdr:col>
                <xdr:colOff>502920</xdr:colOff>
                <xdr:row>15</xdr:row>
                <xdr:rowOff>68580</xdr:rowOff>
              </to>
            </anchor>
          </objectPr>
        </oleObject>
      </mc:Choice>
      <mc:Fallback>
        <oleObject progId="EViews.Workfile.2" shapeId="2049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BDB3-856F-4535-8DD7-88A4A8138C2C}">
  <dimension ref="T4:X6"/>
  <sheetViews>
    <sheetView zoomScale="60" zoomScaleNormal="60" workbookViewId="0">
      <selection activeCell="T25" sqref="T25"/>
    </sheetView>
  </sheetViews>
  <sheetFormatPr defaultRowHeight="14.4" x14ac:dyDescent="0.3"/>
  <sheetData>
    <row r="4" spans="20:24" x14ac:dyDescent="0.3">
      <c r="T4" t="s">
        <v>28</v>
      </c>
    </row>
    <row r="5" spans="20:24" x14ac:dyDescent="0.3">
      <c r="T5" t="s">
        <v>29</v>
      </c>
      <c r="U5">
        <v>3.6386500000000002</v>
      </c>
      <c r="V5" t="s">
        <v>30</v>
      </c>
      <c r="X5">
        <v>4.8800000000000003E-2</v>
      </c>
    </row>
    <row r="6" spans="20:24" x14ac:dyDescent="0.3">
      <c r="T6" t="s">
        <v>31</v>
      </c>
      <c r="U6">
        <v>3.5915680000000001</v>
      </c>
      <c r="V6" t="s">
        <v>32</v>
      </c>
      <c r="X6">
        <v>4.8099999999999997E-2</v>
      </c>
    </row>
  </sheetData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EViews.Workfile.2" shapeId="3073" r:id="rId4">
          <objectPr defaultSize="0" r:id="rId5">
            <anchor moveWithCells="1">
              <from>
                <xdr:col>9</xdr:col>
                <xdr:colOff>0</xdr:colOff>
                <xdr:row>1</xdr:row>
                <xdr:rowOff>0</xdr:rowOff>
              </from>
              <to>
                <xdr:col>16</xdr:col>
                <xdr:colOff>487680</xdr:colOff>
                <xdr:row>17</xdr:row>
                <xdr:rowOff>114300</xdr:rowOff>
              </to>
            </anchor>
          </objectPr>
        </oleObject>
      </mc:Choice>
      <mc:Fallback>
        <oleObject progId="EViews.Workfile.2" shapeId="307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5F72-54F2-400B-A800-D474E98C6046}">
  <dimension ref="E1:AF111"/>
  <sheetViews>
    <sheetView zoomScale="63" zoomScaleNormal="100" workbookViewId="0">
      <selection activeCell="AI49" sqref="AI49"/>
    </sheetView>
  </sheetViews>
  <sheetFormatPr defaultRowHeight="14.4" x14ac:dyDescent="0.3"/>
  <cols>
    <col min="10" max="10" width="12" customWidth="1"/>
    <col min="11" max="11" width="35.33203125" customWidth="1"/>
    <col min="12" max="13" width="20.6640625" bestFit="1" customWidth="1"/>
    <col min="14" max="14" width="10.21875" bestFit="1" customWidth="1"/>
    <col min="16" max="16" width="12.44140625" customWidth="1"/>
    <col min="17" max="17" width="21.33203125" bestFit="1" customWidth="1"/>
    <col min="18" max="18" width="20.6640625" bestFit="1" customWidth="1"/>
    <col min="19" max="19" width="10.21875" bestFit="1" customWidth="1"/>
    <col min="20" max="20" width="9.6640625" bestFit="1" customWidth="1"/>
    <col min="22" max="22" width="11.33203125" customWidth="1"/>
    <col min="23" max="23" width="15.88671875" bestFit="1" customWidth="1"/>
    <col min="24" max="24" width="20.33203125" bestFit="1" customWidth="1"/>
    <col min="25" max="25" width="9.77734375" bestFit="1" customWidth="1"/>
    <col min="26" max="26" width="9.21875" bestFit="1" customWidth="1"/>
    <col min="28" max="28" width="22.44140625" customWidth="1"/>
    <col min="29" max="29" width="11.5546875" customWidth="1"/>
    <col min="30" max="30" width="20.33203125" bestFit="1" customWidth="1"/>
    <col min="31" max="31" width="9.77734375" bestFit="1" customWidth="1"/>
    <col min="32" max="32" width="9.21875" bestFit="1" customWidth="1"/>
  </cols>
  <sheetData>
    <row r="1" spans="10:32" x14ac:dyDescent="0.3">
      <c r="J1" t="s">
        <v>57</v>
      </c>
      <c r="P1" t="s">
        <v>57</v>
      </c>
      <c r="V1" t="s">
        <v>57</v>
      </c>
      <c r="AB1" t="s">
        <v>57</v>
      </c>
    </row>
    <row r="3" spans="10:32" x14ac:dyDescent="0.3">
      <c r="J3" t="s">
        <v>33</v>
      </c>
      <c r="K3" t="s">
        <v>34</v>
      </c>
      <c r="L3" t="s">
        <v>35</v>
      </c>
      <c r="M3" t="s">
        <v>36</v>
      </c>
      <c r="N3" t="s">
        <v>37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B3" t="s">
        <v>33</v>
      </c>
      <c r="AC3" t="s">
        <v>34</v>
      </c>
      <c r="AD3" t="s">
        <v>35</v>
      </c>
      <c r="AE3" t="s">
        <v>36</v>
      </c>
      <c r="AF3" t="s">
        <v>37</v>
      </c>
    </row>
    <row r="4" spans="10:32" x14ac:dyDescent="0.3">
      <c r="J4" t="s">
        <v>58</v>
      </c>
      <c r="K4">
        <v>0.51405299999999998</v>
      </c>
      <c r="L4">
        <v>0.39289499999999999</v>
      </c>
      <c r="M4">
        <v>1.308373</v>
      </c>
      <c r="N4">
        <v>0.19070000000000001</v>
      </c>
      <c r="P4" t="s">
        <v>58</v>
      </c>
      <c r="Q4">
        <v>2.5066440000000001</v>
      </c>
      <c r="R4">
        <v>0.37244300000000002</v>
      </c>
      <c r="S4">
        <v>6.7302689999999998</v>
      </c>
      <c r="T4">
        <v>0</v>
      </c>
      <c r="V4" t="s">
        <v>58</v>
      </c>
      <c r="W4">
        <v>0.13546800000000001</v>
      </c>
      <c r="X4">
        <v>0.299147</v>
      </c>
      <c r="Y4">
        <v>0.45284799999999997</v>
      </c>
      <c r="Z4">
        <v>0.65069999999999995</v>
      </c>
      <c r="AB4" t="s">
        <v>58</v>
      </c>
      <c r="AC4">
        <v>1.0419179999999999</v>
      </c>
      <c r="AD4">
        <v>0.66369</v>
      </c>
      <c r="AE4">
        <v>1.569887</v>
      </c>
      <c r="AF4">
        <v>0.1164</v>
      </c>
    </row>
    <row r="5" spans="10:32" x14ac:dyDescent="0.3">
      <c r="J5" t="s">
        <v>38</v>
      </c>
      <c r="K5">
        <v>-235.11959999999999</v>
      </c>
      <c r="L5">
        <v>222.3826</v>
      </c>
      <c r="M5">
        <v>-1.057275</v>
      </c>
      <c r="N5">
        <v>0.29039999999999999</v>
      </c>
      <c r="P5" t="s">
        <v>38</v>
      </c>
      <c r="Q5">
        <v>-1419.114</v>
      </c>
      <c r="R5">
        <v>578.55780000000004</v>
      </c>
      <c r="S5">
        <v>-2.4528470000000002</v>
      </c>
      <c r="T5">
        <v>1.4200000000000001E-2</v>
      </c>
      <c r="V5" t="s">
        <v>38</v>
      </c>
      <c r="W5">
        <v>32.951999999999998</v>
      </c>
      <c r="X5">
        <v>151.5335</v>
      </c>
      <c r="Y5">
        <v>0.21745700000000001</v>
      </c>
      <c r="Z5">
        <v>0.82789999999999997</v>
      </c>
      <c r="AB5" t="s">
        <v>38</v>
      </c>
      <c r="AC5">
        <v>-444.07600000000002</v>
      </c>
      <c r="AD5">
        <v>399.3861</v>
      </c>
      <c r="AE5">
        <v>-1.1118969999999999</v>
      </c>
      <c r="AF5">
        <v>0.26619999999999999</v>
      </c>
    </row>
    <row r="6" spans="10:32" x14ac:dyDescent="0.3">
      <c r="J6" t="s">
        <v>39</v>
      </c>
      <c r="K6">
        <v>-0.33918399999999999</v>
      </c>
      <c r="L6">
        <v>1.022964</v>
      </c>
      <c r="M6">
        <v>-0.33156999999999998</v>
      </c>
      <c r="N6">
        <v>0.74019999999999997</v>
      </c>
      <c r="P6" t="s">
        <v>55</v>
      </c>
      <c r="Q6">
        <v>5.0000000000000001E-3</v>
      </c>
      <c r="R6">
        <v>0.49515900000000002</v>
      </c>
      <c r="S6">
        <v>1.0097999999999999E-2</v>
      </c>
      <c r="T6">
        <v>0.9919</v>
      </c>
      <c r="V6" t="s">
        <v>59</v>
      </c>
      <c r="W6">
        <v>0.25123899999999999</v>
      </c>
      <c r="X6">
        <v>1.22451</v>
      </c>
      <c r="Y6">
        <v>0.205175</v>
      </c>
      <c r="Z6">
        <v>0.83740000000000003</v>
      </c>
      <c r="AB6" t="s">
        <v>61</v>
      </c>
      <c r="AC6">
        <v>0.57420400000000005</v>
      </c>
      <c r="AD6">
        <v>0.12642700000000001</v>
      </c>
      <c r="AE6">
        <v>4.5417909999999999</v>
      </c>
      <c r="AF6">
        <v>0</v>
      </c>
    </row>
    <row r="7" spans="10:32" x14ac:dyDescent="0.3">
      <c r="J7" t="s">
        <v>40</v>
      </c>
      <c r="K7">
        <v>0.37018200000000001</v>
      </c>
      <c r="L7">
        <v>1.018421</v>
      </c>
      <c r="M7">
        <v>0.36348599999999998</v>
      </c>
      <c r="N7">
        <v>0.71619999999999995</v>
      </c>
      <c r="P7" t="s">
        <v>56</v>
      </c>
      <c r="Q7">
        <v>5.0000000000000001E-3</v>
      </c>
      <c r="R7">
        <v>0.59829200000000005</v>
      </c>
      <c r="S7">
        <v>8.3569999999999998E-3</v>
      </c>
      <c r="T7">
        <v>0.99329999999999996</v>
      </c>
      <c r="V7" t="s">
        <v>60</v>
      </c>
      <c r="W7">
        <v>-0.21390400000000001</v>
      </c>
      <c r="X7">
        <v>1.2432840000000001</v>
      </c>
      <c r="Y7">
        <v>-0.17204800000000001</v>
      </c>
      <c r="Z7">
        <v>0.86339999999999995</v>
      </c>
      <c r="AB7" t="s">
        <v>62</v>
      </c>
      <c r="AC7">
        <v>-0.79748799999999997</v>
      </c>
      <c r="AD7">
        <v>9.4106999999999996E-2</v>
      </c>
      <c r="AE7">
        <v>-8.4743040000000001</v>
      </c>
      <c r="AF7">
        <v>0</v>
      </c>
    </row>
    <row r="8" spans="10:32" x14ac:dyDescent="0.3">
      <c r="K8" t="s">
        <v>41</v>
      </c>
      <c r="Q8" t="s">
        <v>41</v>
      </c>
      <c r="W8" t="s">
        <v>41</v>
      </c>
      <c r="AC8" t="s">
        <v>41</v>
      </c>
    </row>
    <row r="9" spans="10:32" x14ac:dyDescent="0.3">
      <c r="J9" t="s">
        <v>38</v>
      </c>
      <c r="K9">
        <v>-1668.73</v>
      </c>
      <c r="L9">
        <v>2406.4760000000001</v>
      </c>
      <c r="M9">
        <v>-0.69343299999999997</v>
      </c>
      <c r="N9">
        <v>0.48799999999999999</v>
      </c>
      <c r="P9" t="s">
        <v>38</v>
      </c>
      <c r="Q9">
        <v>249818.1</v>
      </c>
      <c r="R9">
        <v>76732.759999999995</v>
      </c>
      <c r="S9">
        <v>3.2556910000000001</v>
      </c>
      <c r="T9">
        <v>1.1000000000000001E-3</v>
      </c>
      <c r="V9" t="s">
        <v>38</v>
      </c>
      <c r="W9">
        <v>1204.5060000000001</v>
      </c>
      <c r="X9">
        <v>1469.057</v>
      </c>
      <c r="Y9">
        <v>0.81991800000000004</v>
      </c>
      <c r="Z9">
        <v>0.4123</v>
      </c>
      <c r="AB9" t="s">
        <v>38</v>
      </c>
      <c r="AC9">
        <v>285950.2</v>
      </c>
      <c r="AD9">
        <v>52294.14</v>
      </c>
      <c r="AE9">
        <v>5.4681110000000004</v>
      </c>
      <c r="AF9">
        <v>0</v>
      </c>
    </row>
    <row r="10" spans="10:32" x14ac:dyDescent="0.3">
      <c r="J10" t="s">
        <v>42</v>
      </c>
      <c r="K10">
        <v>-4.4879000000000002E-2</v>
      </c>
      <c r="L10">
        <v>1.0642E-2</v>
      </c>
      <c r="M10">
        <v>-4.2170160000000001</v>
      </c>
      <c r="N10">
        <v>0</v>
      </c>
      <c r="P10" t="s">
        <v>42</v>
      </c>
      <c r="Q10">
        <v>0.15</v>
      </c>
      <c r="R10">
        <v>6.5349000000000004E-2</v>
      </c>
      <c r="S10">
        <v>2.2953510000000001</v>
      </c>
      <c r="T10">
        <v>2.1700000000000001E-2</v>
      </c>
      <c r="V10" t="s">
        <v>42</v>
      </c>
      <c r="W10">
        <v>-5.4968000000000003E-2</v>
      </c>
      <c r="X10">
        <v>1.0688E-2</v>
      </c>
      <c r="Y10">
        <v>-5.1428019999999997</v>
      </c>
      <c r="Z10">
        <v>0</v>
      </c>
      <c r="AB10" t="s">
        <v>42</v>
      </c>
      <c r="AC10">
        <v>0.26062200000000002</v>
      </c>
      <c r="AD10">
        <v>9.3392000000000003E-2</v>
      </c>
      <c r="AE10">
        <v>2.7906149999999998</v>
      </c>
      <c r="AF10">
        <v>5.3E-3</v>
      </c>
    </row>
    <row r="11" spans="10:32" x14ac:dyDescent="0.3">
      <c r="J11" t="s">
        <v>43</v>
      </c>
      <c r="K11">
        <v>1.0643739999999999</v>
      </c>
      <c r="L11">
        <v>2.52E-4</v>
      </c>
      <c r="M11">
        <v>4219.5990000000002</v>
      </c>
      <c r="N11">
        <v>0</v>
      </c>
      <c r="P11" t="s">
        <v>43</v>
      </c>
      <c r="Q11">
        <v>0.6</v>
      </c>
      <c r="R11">
        <v>0.13673399999999999</v>
      </c>
      <c r="S11">
        <v>4.3880840000000001</v>
      </c>
      <c r="T11">
        <v>0</v>
      </c>
      <c r="V11" t="s">
        <v>43</v>
      </c>
      <c r="W11">
        <v>1.0730280000000001</v>
      </c>
      <c r="X11">
        <v>2.2100000000000001E-4</v>
      </c>
      <c r="Y11">
        <v>4854.1220000000003</v>
      </c>
      <c r="Z11">
        <v>0</v>
      </c>
      <c r="AB11" t="s">
        <v>43</v>
      </c>
      <c r="AC11">
        <v>-0.113857</v>
      </c>
      <c r="AD11">
        <v>6.3482999999999998E-2</v>
      </c>
      <c r="AE11">
        <v>-1.793499</v>
      </c>
      <c r="AF11">
        <v>7.2900000000000006E-2</v>
      </c>
    </row>
    <row r="12" spans="10:32" x14ac:dyDescent="0.3">
      <c r="J12" t="s">
        <v>44</v>
      </c>
      <c r="K12">
        <v>-1.8433999999999999E-2</v>
      </c>
      <c r="L12" t="s">
        <v>45</v>
      </c>
      <c r="N12">
        <v>126.932</v>
      </c>
      <c r="P12" t="s">
        <v>44</v>
      </c>
      <c r="Q12">
        <v>-69914639783.964493</v>
      </c>
      <c r="R12" t="s">
        <v>45</v>
      </c>
      <c r="T12">
        <v>131.26900000000001</v>
      </c>
      <c r="V12" t="s">
        <v>44</v>
      </c>
      <c r="W12">
        <v>-4.2040000000000003E-3</v>
      </c>
      <c r="X12" t="s">
        <v>45</v>
      </c>
      <c r="Z12">
        <v>134.85239999999999</v>
      </c>
      <c r="AB12" t="s">
        <v>44</v>
      </c>
      <c r="AC12">
        <v>4.5447000000000001E-2</v>
      </c>
      <c r="AD12" t="s">
        <v>45</v>
      </c>
      <c r="AF12">
        <v>133.89099999999999</v>
      </c>
    </row>
    <row r="13" spans="10:32" x14ac:dyDescent="0.3">
      <c r="J13" t="s">
        <v>46</v>
      </c>
      <c r="K13">
        <v>-4.3684000000000001E-2</v>
      </c>
      <c r="L13" t="s">
        <v>47</v>
      </c>
      <c r="N13">
        <v>625.39880000000005</v>
      </c>
      <c r="P13" t="s">
        <v>46</v>
      </c>
      <c r="Q13">
        <v>-71662505778.588593</v>
      </c>
      <c r="R13" t="s">
        <v>47</v>
      </c>
      <c r="T13">
        <v>626.04570000000001</v>
      </c>
      <c r="V13" t="s">
        <v>46</v>
      </c>
      <c r="W13">
        <v>-2.9520000000000001E-2</v>
      </c>
      <c r="X13" t="s">
        <v>47</v>
      </c>
      <c r="Z13">
        <v>627.32799999999997</v>
      </c>
      <c r="AB13" t="s">
        <v>46</v>
      </c>
      <c r="AC13">
        <v>2.1179E-2</v>
      </c>
      <c r="AD13" t="s">
        <v>47</v>
      </c>
      <c r="AF13">
        <v>629.82389999999998</v>
      </c>
    </row>
    <row r="14" spans="10:32" x14ac:dyDescent="0.3">
      <c r="J14" t="s">
        <v>48</v>
      </c>
      <c r="K14">
        <v>638.91279999999995</v>
      </c>
      <c r="L14" t="s">
        <v>49</v>
      </c>
      <c r="N14">
        <v>15.58816</v>
      </c>
      <c r="P14" t="s">
        <v>48</v>
      </c>
      <c r="Q14" s="1">
        <v>168000000</v>
      </c>
      <c r="R14" t="s">
        <v>49</v>
      </c>
      <c r="T14">
        <v>26.145910000000001</v>
      </c>
      <c r="V14" t="s">
        <v>48</v>
      </c>
      <c r="W14">
        <v>636.52</v>
      </c>
      <c r="X14" t="s">
        <v>49</v>
      </c>
      <c r="Z14">
        <v>15.547650000000001</v>
      </c>
      <c r="AB14" t="s">
        <v>48</v>
      </c>
      <c r="AC14">
        <v>623.11879999999996</v>
      </c>
      <c r="AD14" t="s">
        <v>49</v>
      </c>
      <c r="AF14">
        <v>15.60482</v>
      </c>
    </row>
    <row r="15" spans="10:32" x14ac:dyDescent="0.3">
      <c r="J15" t="s">
        <v>50</v>
      </c>
      <c r="K15">
        <v>49393360</v>
      </c>
      <c r="L15" t="s">
        <v>51</v>
      </c>
      <c r="N15">
        <v>15.74654</v>
      </c>
      <c r="P15" t="s">
        <v>50</v>
      </c>
      <c r="Q15" s="1">
        <v>3.37E+18</v>
      </c>
      <c r="R15" t="s">
        <v>51</v>
      </c>
      <c r="T15">
        <v>26.305119999999999</v>
      </c>
      <c r="V15" t="s">
        <v>50</v>
      </c>
      <c r="W15">
        <v>48213770</v>
      </c>
      <c r="X15" t="s">
        <v>51</v>
      </c>
      <c r="Z15">
        <v>15.707689999999999</v>
      </c>
      <c r="AB15" t="s">
        <v>50</v>
      </c>
      <c r="AC15">
        <v>45816690</v>
      </c>
      <c r="AD15" t="s">
        <v>51</v>
      </c>
      <c r="AF15">
        <v>15.76571</v>
      </c>
    </row>
    <row r="16" spans="10:32" x14ac:dyDescent="0.3">
      <c r="J16" t="s">
        <v>52</v>
      </c>
      <c r="K16">
        <v>-967.25980000000004</v>
      </c>
      <c r="L16" t="s">
        <v>53</v>
      </c>
      <c r="N16">
        <v>15.6525</v>
      </c>
      <c r="P16" t="s">
        <v>52</v>
      </c>
      <c r="Q16">
        <v>-1614.046</v>
      </c>
      <c r="R16" t="s">
        <v>53</v>
      </c>
      <c r="T16">
        <v>26.21058</v>
      </c>
      <c r="V16" t="s">
        <v>52</v>
      </c>
      <c r="W16">
        <v>-949.18050000000005</v>
      </c>
      <c r="X16" t="s">
        <v>53</v>
      </c>
      <c r="Z16">
        <v>15.61266</v>
      </c>
      <c r="AB16" t="s">
        <v>52</v>
      </c>
      <c r="AC16">
        <v>-944.89430000000004</v>
      </c>
      <c r="AD16" t="s">
        <v>53</v>
      </c>
      <c r="AF16">
        <v>15.670170000000001</v>
      </c>
    </row>
    <row r="17" spans="10:32" x14ac:dyDescent="0.3">
      <c r="J17" t="s">
        <v>54</v>
      </c>
      <c r="K17">
        <v>1.9986440000000001</v>
      </c>
      <c r="P17" t="s">
        <v>54</v>
      </c>
      <c r="Q17">
        <v>3.7956999999999998E-2</v>
      </c>
      <c r="V17" t="s">
        <v>54</v>
      </c>
      <c r="W17">
        <v>1.962378</v>
      </c>
      <c r="AB17" t="s">
        <v>54</v>
      </c>
      <c r="AC17">
        <v>1.8612899999999999</v>
      </c>
    </row>
    <row r="23" spans="10:32" x14ac:dyDescent="0.3">
      <c r="J23" t="s">
        <v>57</v>
      </c>
      <c r="P23" t="s">
        <v>57</v>
      </c>
      <c r="V23" t="s">
        <v>57</v>
      </c>
      <c r="AB23" t="s">
        <v>57</v>
      </c>
    </row>
    <row r="25" spans="10:32" x14ac:dyDescent="0.3">
      <c r="J25" t="s">
        <v>33</v>
      </c>
      <c r="K25" t="s">
        <v>34</v>
      </c>
      <c r="L25" t="s">
        <v>35</v>
      </c>
      <c r="M25" t="s">
        <v>36</v>
      </c>
      <c r="N25" t="s">
        <v>37</v>
      </c>
      <c r="P25" t="s">
        <v>33</v>
      </c>
      <c r="Q25" t="s">
        <v>34</v>
      </c>
      <c r="R25" t="s">
        <v>35</v>
      </c>
      <c r="S25" t="s">
        <v>36</v>
      </c>
      <c r="T25" t="s">
        <v>37</v>
      </c>
      <c r="V25" t="s">
        <v>33</v>
      </c>
      <c r="W25" t="s">
        <v>34</v>
      </c>
      <c r="X25" t="s">
        <v>35</v>
      </c>
      <c r="Y25" t="s">
        <v>36</v>
      </c>
      <c r="Z25" t="s">
        <v>37</v>
      </c>
      <c r="AB25" t="s">
        <v>33</v>
      </c>
      <c r="AC25" t="s">
        <v>34</v>
      </c>
      <c r="AD25" t="s">
        <v>35</v>
      </c>
      <c r="AE25" t="s">
        <v>36</v>
      </c>
      <c r="AF25" t="s">
        <v>37</v>
      </c>
    </row>
    <row r="26" spans="10:32" x14ac:dyDescent="0.3">
      <c r="J26" t="s">
        <v>58</v>
      </c>
      <c r="K26">
        <v>-0.14168600000000001</v>
      </c>
      <c r="L26">
        <v>0.229437</v>
      </c>
      <c r="M26">
        <v>-0.617537</v>
      </c>
      <c r="N26">
        <v>0.53690000000000004</v>
      </c>
      <c r="P26" t="s">
        <v>58</v>
      </c>
      <c r="Q26">
        <v>0.952461</v>
      </c>
      <c r="R26">
        <v>0.80280099999999999</v>
      </c>
      <c r="S26">
        <v>1.1864220000000001</v>
      </c>
      <c r="T26">
        <v>0.23549999999999999</v>
      </c>
      <c r="V26" t="s">
        <v>58</v>
      </c>
      <c r="W26">
        <v>0.94285200000000002</v>
      </c>
      <c r="X26">
        <v>0.811751</v>
      </c>
      <c r="Y26">
        <v>1.1615040000000001</v>
      </c>
      <c r="Z26">
        <v>0.24540000000000001</v>
      </c>
      <c r="AB26" t="s">
        <v>58</v>
      </c>
      <c r="AC26">
        <v>0.14334</v>
      </c>
      <c r="AD26">
        <v>0.23194400000000001</v>
      </c>
      <c r="AE26">
        <v>0.61799400000000004</v>
      </c>
      <c r="AF26">
        <v>0.53659999999999997</v>
      </c>
    </row>
    <row r="27" spans="10:32" x14ac:dyDescent="0.3">
      <c r="J27" t="s">
        <v>38</v>
      </c>
      <c r="K27">
        <v>293.16660000000002</v>
      </c>
      <c r="L27">
        <v>180.98570000000001</v>
      </c>
      <c r="M27">
        <v>1.6198319999999999</v>
      </c>
      <c r="N27">
        <v>0.1053</v>
      </c>
      <c r="P27" t="s">
        <v>38</v>
      </c>
      <c r="Q27">
        <v>-405.95069999999998</v>
      </c>
      <c r="R27">
        <v>468.13119999999998</v>
      </c>
      <c r="S27">
        <v>-0.86717299999999997</v>
      </c>
      <c r="T27">
        <v>0.38579999999999998</v>
      </c>
      <c r="V27" t="s">
        <v>38</v>
      </c>
      <c r="W27">
        <v>-377.32810000000001</v>
      </c>
      <c r="X27">
        <v>470.1814</v>
      </c>
      <c r="Y27">
        <v>-0.80251600000000001</v>
      </c>
      <c r="Z27">
        <v>0.42230000000000001</v>
      </c>
      <c r="AB27" t="s">
        <v>38</v>
      </c>
      <c r="AC27">
        <v>9.2915189999999992</v>
      </c>
      <c r="AD27">
        <v>106.0847</v>
      </c>
      <c r="AE27">
        <v>8.7585999999999997E-2</v>
      </c>
      <c r="AF27">
        <v>0.93020000000000003</v>
      </c>
    </row>
    <row r="28" spans="10:32" x14ac:dyDescent="0.3">
      <c r="J28" t="s">
        <v>63</v>
      </c>
      <c r="K28">
        <v>0.77773300000000001</v>
      </c>
      <c r="L28">
        <v>8.6305999999999994E-2</v>
      </c>
      <c r="M28">
        <v>9.0113699999999994</v>
      </c>
      <c r="N28">
        <v>0</v>
      </c>
      <c r="P28" t="s">
        <v>61</v>
      </c>
      <c r="Q28">
        <v>-0.20999899999999999</v>
      </c>
      <c r="R28">
        <v>7.4249999999999997E-2</v>
      </c>
      <c r="S28">
        <v>-2.8282829999999999</v>
      </c>
      <c r="T28">
        <v>4.7000000000000002E-3</v>
      </c>
      <c r="V28" t="s">
        <v>63</v>
      </c>
      <c r="W28">
        <v>-0.13477600000000001</v>
      </c>
      <c r="X28">
        <v>0.10731</v>
      </c>
      <c r="Y28">
        <v>-1.2559530000000001</v>
      </c>
      <c r="Z28">
        <v>0.20910000000000001</v>
      </c>
      <c r="AB28" t="s">
        <v>65</v>
      </c>
      <c r="AC28">
        <v>-0.439251</v>
      </c>
      <c r="AD28">
        <v>0.17676</v>
      </c>
      <c r="AE28">
        <v>-2.4850189999999999</v>
      </c>
      <c r="AF28">
        <v>1.2999999999999999E-2</v>
      </c>
    </row>
    <row r="29" spans="10:32" x14ac:dyDescent="0.3">
      <c r="J29" t="s">
        <v>64</v>
      </c>
      <c r="K29">
        <v>-0.83404100000000003</v>
      </c>
      <c r="L29">
        <v>6.1911000000000001E-2</v>
      </c>
      <c r="M29">
        <v>-13.471629999999999</v>
      </c>
      <c r="N29">
        <v>0</v>
      </c>
      <c r="P29" t="s">
        <v>64</v>
      </c>
      <c r="Q29">
        <v>-0.18068999999999999</v>
      </c>
      <c r="R29">
        <v>9.5186999999999994E-2</v>
      </c>
      <c r="S29">
        <v>-1.898263</v>
      </c>
      <c r="T29">
        <v>5.7700000000000001E-2</v>
      </c>
      <c r="V29" t="s">
        <v>62</v>
      </c>
      <c r="W29">
        <v>-0.21277699999999999</v>
      </c>
      <c r="X29">
        <v>7.7745999999999996E-2</v>
      </c>
      <c r="Y29">
        <v>-2.7368209999999999</v>
      </c>
      <c r="Z29">
        <v>6.1999999999999998E-3</v>
      </c>
      <c r="AB29" t="s">
        <v>66</v>
      </c>
      <c r="AC29">
        <v>0.69271000000000005</v>
      </c>
      <c r="AD29">
        <v>0.14083899999999999</v>
      </c>
      <c r="AE29">
        <v>4.918444</v>
      </c>
      <c r="AF29">
        <v>0</v>
      </c>
    </row>
    <row r="30" spans="10:32" x14ac:dyDescent="0.3">
      <c r="K30" t="s">
        <v>41</v>
      </c>
      <c r="Q30" t="s">
        <v>41</v>
      </c>
      <c r="W30" t="s">
        <v>41</v>
      </c>
      <c r="AC30" t="s">
        <v>41</v>
      </c>
    </row>
    <row r="31" spans="10:32" x14ac:dyDescent="0.3">
      <c r="J31" t="s">
        <v>38</v>
      </c>
      <c r="K31">
        <v>3344.5529999999999</v>
      </c>
      <c r="L31">
        <v>834.46600000000001</v>
      </c>
      <c r="M31">
        <v>4.0080159999999996</v>
      </c>
      <c r="N31">
        <v>1E-4</v>
      </c>
      <c r="P31" t="s">
        <v>38</v>
      </c>
      <c r="Q31">
        <v>333246.8</v>
      </c>
      <c r="R31">
        <v>80727.55</v>
      </c>
      <c r="S31">
        <v>4.1280429999999999</v>
      </c>
      <c r="T31">
        <v>0</v>
      </c>
      <c r="V31" t="s">
        <v>38</v>
      </c>
      <c r="W31">
        <v>319973.2</v>
      </c>
      <c r="X31">
        <v>68080.600000000006</v>
      </c>
      <c r="Y31">
        <v>4.6999170000000001</v>
      </c>
      <c r="Z31">
        <v>0</v>
      </c>
      <c r="AB31" t="s">
        <v>38</v>
      </c>
      <c r="AC31">
        <v>1875.9159999999999</v>
      </c>
      <c r="AD31">
        <v>1279.002</v>
      </c>
      <c r="AE31">
        <v>1.4667030000000001</v>
      </c>
      <c r="AF31">
        <v>0.14249999999999999</v>
      </c>
    </row>
    <row r="32" spans="10:32" x14ac:dyDescent="0.3">
      <c r="J32" t="s">
        <v>42</v>
      </c>
      <c r="K32">
        <v>-6.3066999999999998E-2</v>
      </c>
      <c r="L32">
        <v>1.0236E-2</v>
      </c>
      <c r="M32">
        <v>-6.1615219999999997</v>
      </c>
      <c r="N32">
        <v>0</v>
      </c>
      <c r="P32" t="s">
        <v>42</v>
      </c>
      <c r="Q32">
        <v>0.22395399999999999</v>
      </c>
      <c r="R32">
        <v>0.112637</v>
      </c>
      <c r="S32">
        <v>1.988289</v>
      </c>
      <c r="T32">
        <v>4.6800000000000001E-2</v>
      </c>
      <c r="V32" t="s">
        <v>42</v>
      </c>
      <c r="W32">
        <v>0.23372399999999999</v>
      </c>
      <c r="X32">
        <v>0.103446</v>
      </c>
      <c r="Y32">
        <v>2.259379</v>
      </c>
      <c r="Z32">
        <v>2.3900000000000001E-2</v>
      </c>
      <c r="AB32" t="s">
        <v>42</v>
      </c>
      <c r="AC32">
        <v>-5.8741000000000002E-2</v>
      </c>
      <c r="AD32">
        <v>1.0496999999999999E-2</v>
      </c>
      <c r="AE32">
        <v>-5.5959750000000001</v>
      </c>
      <c r="AF32">
        <v>0</v>
      </c>
    </row>
    <row r="33" spans="10:32" x14ac:dyDescent="0.3">
      <c r="J33" t="s">
        <v>43</v>
      </c>
      <c r="K33">
        <v>1.0782229999999999</v>
      </c>
      <c r="L33">
        <v>2.2100000000000001E-4</v>
      </c>
      <c r="M33">
        <v>4874.9610000000002</v>
      </c>
      <c r="N33">
        <v>0</v>
      </c>
      <c r="P33" t="s">
        <v>43</v>
      </c>
      <c r="Q33">
        <v>-0.17555899999999999</v>
      </c>
      <c r="R33">
        <v>0.129139</v>
      </c>
      <c r="S33">
        <v>-1.3594569999999999</v>
      </c>
      <c r="T33">
        <v>0.17399999999999999</v>
      </c>
      <c r="V33" t="s">
        <v>43</v>
      </c>
      <c r="W33">
        <v>-0.150835</v>
      </c>
      <c r="X33">
        <v>0.101464</v>
      </c>
      <c r="Y33">
        <v>-1.4865889999999999</v>
      </c>
      <c r="Z33">
        <v>0.1371</v>
      </c>
      <c r="AB33" t="s">
        <v>43</v>
      </c>
      <c r="AC33">
        <v>1.0769599999999999</v>
      </c>
      <c r="AD33">
        <v>2.32E-4</v>
      </c>
      <c r="AE33">
        <v>4651.049</v>
      </c>
      <c r="AF33">
        <v>0</v>
      </c>
    </row>
    <row r="34" spans="10:32" x14ac:dyDescent="0.3">
      <c r="J34" t="s">
        <v>44</v>
      </c>
      <c r="K34">
        <v>4.7578000000000002E-2</v>
      </c>
      <c r="L34" t="s">
        <v>45</v>
      </c>
      <c r="N34">
        <v>135.536</v>
      </c>
      <c r="P34" t="s">
        <v>44</v>
      </c>
      <c r="Q34">
        <v>9.8424999999999999E-2</v>
      </c>
      <c r="R34" t="s">
        <v>45</v>
      </c>
      <c r="T34">
        <v>133.89099999999999</v>
      </c>
      <c r="V34" t="s">
        <v>44</v>
      </c>
      <c r="W34">
        <v>8.9448E-2</v>
      </c>
      <c r="X34" t="s">
        <v>45</v>
      </c>
      <c r="Z34">
        <v>135.536</v>
      </c>
      <c r="AB34" t="s">
        <v>44</v>
      </c>
      <c r="AC34">
        <v>3.9831999999999999E-2</v>
      </c>
      <c r="AD34" t="s">
        <v>45</v>
      </c>
      <c r="AF34">
        <v>141.15170000000001</v>
      </c>
    </row>
    <row r="35" spans="10:32" x14ac:dyDescent="0.3">
      <c r="J35" t="s">
        <v>46</v>
      </c>
      <c r="K35">
        <v>2.3157000000000001E-2</v>
      </c>
      <c r="L35" t="s">
        <v>47</v>
      </c>
      <c r="N35">
        <v>632.17949999999996</v>
      </c>
      <c r="P35" t="s">
        <v>46</v>
      </c>
      <c r="Q35">
        <v>7.5504000000000002E-2</v>
      </c>
      <c r="R35" t="s">
        <v>47</v>
      </c>
      <c r="T35">
        <v>629.82389999999998</v>
      </c>
      <c r="V35" t="s">
        <v>46</v>
      </c>
      <c r="W35">
        <v>6.6100000000000006E-2</v>
      </c>
      <c r="X35" t="s">
        <v>47</v>
      </c>
      <c r="Z35">
        <v>632.17949999999996</v>
      </c>
      <c r="AB35" t="s">
        <v>46</v>
      </c>
      <c r="AC35">
        <v>1.4785E-2</v>
      </c>
      <c r="AD35" t="s">
        <v>47</v>
      </c>
      <c r="AF35">
        <v>634.24590000000001</v>
      </c>
    </row>
    <row r="36" spans="10:32" x14ac:dyDescent="0.3">
      <c r="J36" t="s">
        <v>48</v>
      </c>
      <c r="K36">
        <v>624.81709999999998</v>
      </c>
      <c r="L36" t="s">
        <v>49</v>
      </c>
      <c r="N36">
        <v>15.429679999999999</v>
      </c>
      <c r="P36" t="s">
        <v>48</v>
      </c>
      <c r="Q36">
        <v>605.58040000000005</v>
      </c>
      <c r="R36" t="s">
        <v>49</v>
      </c>
      <c r="T36">
        <v>15.635730000000001</v>
      </c>
      <c r="V36" t="s">
        <v>48</v>
      </c>
      <c r="W36">
        <v>610.92880000000002</v>
      </c>
      <c r="X36" t="s">
        <v>49</v>
      </c>
      <c r="Z36">
        <v>15.64096</v>
      </c>
      <c r="AB36" t="s">
        <v>48</v>
      </c>
      <c r="AC36">
        <v>629.53989999999999</v>
      </c>
      <c r="AD36" t="s">
        <v>49</v>
      </c>
      <c r="AF36">
        <v>15.46411</v>
      </c>
    </row>
    <row r="37" spans="10:32" x14ac:dyDescent="0.3">
      <c r="J37" t="s">
        <v>50</v>
      </c>
      <c r="K37">
        <v>45676378</v>
      </c>
      <c r="L37" t="s">
        <v>51</v>
      </c>
      <c r="N37">
        <v>15.591419999999999</v>
      </c>
      <c r="P37" t="s">
        <v>50</v>
      </c>
      <c r="Q37">
        <v>43273855</v>
      </c>
      <c r="R37" t="s">
        <v>51</v>
      </c>
      <c r="T37">
        <v>15.796620000000001</v>
      </c>
      <c r="V37" t="s">
        <v>50</v>
      </c>
      <c r="W37">
        <v>43668375</v>
      </c>
      <c r="X37" t="s">
        <v>51</v>
      </c>
      <c r="Z37">
        <v>15.8027</v>
      </c>
      <c r="AB37" t="s">
        <v>50</v>
      </c>
      <c r="AC37">
        <v>45576855</v>
      </c>
      <c r="AD37" t="s">
        <v>51</v>
      </c>
      <c r="AF37">
        <v>15.62759</v>
      </c>
    </row>
    <row r="38" spans="10:32" x14ac:dyDescent="0.3">
      <c r="J38" t="s">
        <v>52</v>
      </c>
      <c r="K38">
        <v>-926.49590000000001</v>
      </c>
      <c r="L38" t="s">
        <v>53</v>
      </c>
      <c r="N38">
        <v>15.495369999999999</v>
      </c>
      <c r="P38" t="s">
        <v>52</v>
      </c>
      <c r="Q38">
        <v>-946.77949999999998</v>
      </c>
      <c r="R38" t="s">
        <v>53</v>
      </c>
      <c r="T38">
        <v>15.701079999999999</v>
      </c>
      <c r="V38" t="s">
        <v>52</v>
      </c>
      <c r="W38">
        <v>-939.27819999999997</v>
      </c>
      <c r="X38" t="s">
        <v>53</v>
      </c>
      <c r="Z38">
        <v>15.70665</v>
      </c>
      <c r="AB38" t="s">
        <v>52</v>
      </c>
      <c r="AC38">
        <v>-913.11450000000002</v>
      </c>
      <c r="AD38" t="s">
        <v>53</v>
      </c>
      <c r="AF38">
        <v>15.53049</v>
      </c>
    </row>
    <row r="39" spans="10:32" x14ac:dyDescent="0.3">
      <c r="J39" t="s">
        <v>54</v>
      </c>
      <c r="K39">
        <v>2.026208</v>
      </c>
      <c r="P39" t="s">
        <v>54</v>
      </c>
      <c r="Q39">
        <v>1.8501019999999999</v>
      </c>
      <c r="V39" t="s">
        <v>54</v>
      </c>
      <c r="W39">
        <v>1.808362</v>
      </c>
      <c r="AB39" t="s">
        <v>54</v>
      </c>
      <c r="AC39">
        <v>1.9780960000000001</v>
      </c>
    </row>
    <row r="45" spans="10:32" x14ac:dyDescent="0.3">
      <c r="J45" t="s">
        <v>57</v>
      </c>
      <c r="P45" t="s">
        <v>57</v>
      </c>
      <c r="V45" t="s">
        <v>57</v>
      </c>
      <c r="AB45" t="s">
        <v>57</v>
      </c>
    </row>
    <row r="47" spans="10:32" x14ac:dyDescent="0.3">
      <c r="J47" t="s">
        <v>33</v>
      </c>
      <c r="K47" t="s">
        <v>34</v>
      </c>
      <c r="L47" t="s">
        <v>35</v>
      </c>
      <c r="M47" t="s">
        <v>36</v>
      </c>
      <c r="N47" t="s">
        <v>37</v>
      </c>
      <c r="P47" t="s">
        <v>33</v>
      </c>
      <c r="Q47" t="s">
        <v>34</v>
      </c>
      <c r="R47" t="s">
        <v>35</v>
      </c>
      <c r="S47" t="s">
        <v>36</v>
      </c>
      <c r="T47" t="s">
        <v>37</v>
      </c>
      <c r="V47" t="s">
        <v>33</v>
      </c>
      <c r="W47" t="s">
        <v>34</v>
      </c>
      <c r="X47" t="s">
        <v>35</v>
      </c>
      <c r="Y47" t="s">
        <v>36</v>
      </c>
      <c r="Z47" t="s">
        <v>37</v>
      </c>
      <c r="AB47" t="s">
        <v>33</v>
      </c>
      <c r="AC47" t="s">
        <v>34</v>
      </c>
      <c r="AD47" t="s">
        <v>35</v>
      </c>
      <c r="AE47" t="s">
        <v>36</v>
      </c>
      <c r="AF47" t="s">
        <v>37</v>
      </c>
    </row>
    <row r="48" spans="10:32" x14ac:dyDescent="0.3">
      <c r="J48" t="s">
        <v>58</v>
      </c>
      <c r="K48">
        <v>0.96166600000000002</v>
      </c>
      <c r="L48">
        <v>0.83814699999999998</v>
      </c>
      <c r="M48">
        <v>1.1473720000000001</v>
      </c>
      <c r="N48">
        <v>0.25119999999999998</v>
      </c>
      <c r="P48" t="s">
        <v>58</v>
      </c>
      <c r="Q48">
        <v>2.572038</v>
      </c>
      <c r="R48">
        <v>0.32902399999999998</v>
      </c>
      <c r="S48">
        <v>7.8171749999999998</v>
      </c>
      <c r="T48">
        <v>0</v>
      </c>
      <c r="V48" t="s">
        <v>58</v>
      </c>
      <c r="W48">
        <v>2.568282</v>
      </c>
      <c r="X48">
        <v>4.6418920000000004</v>
      </c>
      <c r="Y48">
        <v>0.553284</v>
      </c>
      <c r="Z48">
        <v>0.58009999999999995</v>
      </c>
      <c r="AB48" t="s">
        <v>58</v>
      </c>
      <c r="AC48">
        <v>-0.66474100000000003</v>
      </c>
      <c r="AD48">
        <v>0.34437200000000001</v>
      </c>
      <c r="AE48">
        <v>-1.930302</v>
      </c>
      <c r="AF48">
        <v>5.3600000000000002E-2</v>
      </c>
    </row>
    <row r="49" spans="5:32" x14ac:dyDescent="0.3">
      <c r="J49" t="s">
        <v>38</v>
      </c>
      <c r="K49">
        <v>-374.21379999999999</v>
      </c>
      <c r="L49">
        <v>481.47</v>
      </c>
      <c r="M49">
        <v>-0.77723200000000003</v>
      </c>
      <c r="N49">
        <v>0.437</v>
      </c>
      <c r="P49" t="s">
        <v>38</v>
      </c>
      <c r="Q49">
        <v>-1471.9839999999999</v>
      </c>
      <c r="R49">
        <v>625.83370000000002</v>
      </c>
      <c r="S49">
        <v>-2.352036</v>
      </c>
      <c r="T49">
        <v>1.8700000000000001E-2</v>
      </c>
      <c r="V49" t="s">
        <v>38</v>
      </c>
      <c r="W49">
        <v>-1461.3230000000001</v>
      </c>
      <c r="X49">
        <v>2937.7280000000001</v>
      </c>
      <c r="Y49">
        <v>-0.49743300000000001</v>
      </c>
      <c r="Z49">
        <v>0.61890000000000001</v>
      </c>
      <c r="AB49" t="s">
        <v>38</v>
      </c>
      <c r="AC49">
        <v>663.60720000000003</v>
      </c>
      <c r="AD49">
        <v>246.44900000000001</v>
      </c>
      <c r="AE49">
        <v>2.6926760000000001</v>
      </c>
      <c r="AF49">
        <v>7.1000000000000004E-3</v>
      </c>
    </row>
    <row r="50" spans="5:32" x14ac:dyDescent="0.3">
      <c r="J50" t="s">
        <v>61</v>
      </c>
      <c r="K50">
        <v>-0.21320600000000001</v>
      </c>
      <c r="L50">
        <v>6.4799999999999996E-2</v>
      </c>
      <c r="M50">
        <v>-3.290222</v>
      </c>
      <c r="N50">
        <v>1E-3</v>
      </c>
      <c r="P50" t="s">
        <v>65</v>
      </c>
      <c r="Q50">
        <v>5.0000000000000001E-3</v>
      </c>
      <c r="R50">
        <v>0.210338</v>
      </c>
      <c r="S50">
        <v>2.3771E-2</v>
      </c>
      <c r="T50">
        <v>0.98099999999999998</v>
      </c>
      <c r="V50" t="s">
        <v>67</v>
      </c>
      <c r="W50">
        <v>0.38965300000000003</v>
      </c>
      <c r="X50">
        <v>8.7586999999999998E-2</v>
      </c>
      <c r="Y50">
        <v>4.4487490000000003</v>
      </c>
      <c r="Z50">
        <v>0</v>
      </c>
      <c r="AB50" t="s">
        <v>69</v>
      </c>
      <c r="AC50">
        <v>0.260712</v>
      </c>
      <c r="AD50">
        <v>0.111262</v>
      </c>
      <c r="AE50">
        <v>2.3432300000000001</v>
      </c>
      <c r="AF50">
        <v>1.9099999999999999E-2</v>
      </c>
    </row>
    <row r="51" spans="5:32" x14ac:dyDescent="0.3">
      <c r="J51" t="s">
        <v>66</v>
      </c>
      <c r="K51">
        <v>0.145588</v>
      </c>
      <c r="L51">
        <v>7.5913999999999995E-2</v>
      </c>
      <c r="M51">
        <v>1.917799</v>
      </c>
      <c r="N51">
        <v>5.5100000000000003E-2</v>
      </c>
      <c r="P51" t="s">
        <v>62</v>
      </c>
      <c r="Q51">
        <v>5.0000000000000001E-3</v>
      </c>
      <c r="R51">
        <v>0.36883199999999999</v>
      </c>
      <c r="S51">
        <v>1.3556E-2</v>
      </c>
      <c r="T51">
        <v>0.98919999999999997</v>
      </c>
      <c r="V51" t="s">
        <v>68</v>
      </c>
      <c r="W51">
        <v>-0.82482999999999995</v>
      </c>
      <c r="X51">
        <v>2.3481999999999999E-2</v>
      </c>
      <c r="Y51">
        <v>-35.125399999999999</v>
      </c>
      <c r="Z51">
        <v>0</v>
      </c>
      <c r="AB51" t="s">
        <v>70</v>
      </c>
      <c r="AC51">
        <v>-0.73189300000000002</v>
      </c>
      <c r="AD51">
        <v>1.0220999999999999E-2</v>
      </c>
      <c r="AE51">
        <v>-71.605509999999995</v>
      </c>
      <c r="AF51">
        <v>0</v>
      </c>
    </row>
    <row r="52" spans="5:32" x14ac:dyDescent="0.3">
      <c r="K52" t="s">
        <v>41</v>
      </c>
      <c r="Q52" t="s">
        <v>41</v>
      </c>
      <c r="W52" t="s">
        <v>41</v>
      </c>
      <c r="AC52" t="s">
        <v>41</v>
      </c>
    </row>
    <row r="53" spans="5:32" x14ac:dyDescent="0.3">
      <c r="J53" t="s">
        <v>38</v>
      </c>
      <c r="K53">
        <v>331314.09999999998</v>
      </c>
      <c r="L53">
        <v>93725.2</v>
      </c>
      <c r="M53">
        <v>3.5349520000000001</v>
      </c>
      <c r="N53">
        <v>4.0000000000000002E-4</v>
      </c>
      <c r="P53" t="s">
        <v>38</v>
      </c>
      <c r="Q53">
        <v>256730.8</v>
      </c>
      <c r="R53">
        <v>103412.3</v>
      </c>
      <c r="S53">
        <v>2.482593</v>
      </c>
      <c r="T53">
        <v>1.2999999999999999E-2</v>
      </c>
      <c r="V53" t="s">
        <v>38</v>
      </c>
      <c r="W53">
        <v>413407.5</v>
      </c>
      <c r="X53">
        <v>265794.59999999998</v>
      </c>
      <c r="Y53">
        <v>1.555364</v>
      </c>
      <c r="Z53">
        <v>0.11990000000000001</v>
      </c>
      <c r="AB53" t="s">
        <v>38</v>
      </c>
      <c r="AC53">
        <v>19062.73</v>
      </c>
      <c r="AD53">
        <v>2644.2449999999999</v>
      </c>
      <c r="AE53">
        <v>7.209136</v>
      </c>
      <c r="AF53">
        <v>0</v>
      </c>
    </row>
    <row r="54" spans="5:32" x14ac:dyDescent="0.3">
      <c r="J54" t="s">
        <v>42</v>
      </c>
      <c r="K54">
        <v>0.209116</v>
      </c>
      <c r="L54">
        <v>0.118849</v>
      </c>
      <c r="M54">
        <v>1.7595050000000001</v>
      </c>
      <c r="N54">
        <v>7.85E-2</v>
      </c>
      <c r="P54" t="s">
        <v>42</v>
      </c>
      <c r="Q54">
        <v>0.15</v>
      </c>
      <c r="R54">
        <v>6.1221999999999999E-2</v>
      </c>
      <c r="S54">
        <v>2.4500799999999998</v>
      </c>
      <c r="T54">
        <v>1.43E-2</v>
      </c>
      <c r="V54" t="s">
        <v>42</v>
      </c>
      <c r="W54">
        <v>5.8703999999999999E-2</v>
      </c>
      <c r="X54">
        <v>0.11362800000000001</v>
      </c>
      <c r="Y54">
        <v>0.51663599999999998</v>
      </c>
      <c r="Z54">
        <v>0.60540000000000005</v>
      </c>
      <c r="AB54" t="s">
        <v>42</v>
      </c>
      <c r="AC54">
        <v>-0.12184300000000001</v>
      </c>
      <c r="AD54">
        <v>9.7339999999999996E-3</v>
      </c>
      <c r="AE54">
        <v>-12.517200000000001</v>
      </c>
      <c r="AF54">
        <v>0</v>
      </c>
    </row>
    <row r="55" spans="5:32" x14ac:dyDescent="0.3">
      <c r="J55" t="s">
        <v>43</v>
      </c>
      <c r="K55">
        <v>-0.18112600000000001</v>
      </c>
      <c r="L55">
        <v>0.148891</v>
      </c>
      <c r="M55">
        <v>-1.2164999999999999</v>
      </c>
      <c r="N55">
        <v>0.2238</v>
      </c>
      <c r="P55" t="s">
        <v>43</v>
      </c>
      <c r="Q55">
        <v>0.6</v>
      </c>
      <c r="R55">
        <v>0.186054</v>
      </c>
      <c r="S55">
        <v>3.224863</v>
      </c>
      <c r="T55">
        <v>1.2999999999999999E-3</v>
      </c>
      <c r="V55" t="s">
        <v>43</v>
      </c>
      <c r="W55">
        <v>-0.26555000000000001</v>
      </c>
      <c r="X55">
        <v>0.78475899999999998</v>
      </c>
      <c r="Y55">
        <v>-0.33838400000000002</v>
      </c>
      <c r="Z55">
        <v>0.73509999999999998</v>
      </c>
      <c r="AB55" t="s">
        <v>43</v>
      </c>
      <c r="AC55">
        <v>1.0787640000000001</v>
      </c>
      <c r="AD55">
        <v>5.5999999999999995E-4</v>
      </c>
      <c r="AE55">
        <v>1925.8130000000001</v>
      </c>
      <c r="AF55">
        <v>0</v>
      </c>
    </row>
    <row r="56" spans="5:32" x14ac:dyDescent="0.3">
      <c r="J56" t="s">
        <v>44</v>
      </c>
      <c r="K56">
        <v>8.7480000000000002E-2</v>
      </c>
      <c r="L56" t="s">
        <v>45</v>
      </c>
      <c r="N56">
        <v>133.89099999999999</v>
      </c>
      <c r="P56" t="s">
        <v>44</v>
      </c>
      <c r="Q56">
        <v>-8199460775970.29</v>
      </c>
      <c r="R56" t="s">
        <v>45</v>
      </c>
      <c r="T56">
        <v>141.15170000000001</v>
      </c>
      <c r="V56" t="s">
        <v>44</v>
      </c>
      <c r="W56">
        <v>0.23415800000000001</v>
      </c>
      <c r="X56" t="s">
        <v>45</v>
      </c>
      <c r="Z56">
        <v>149.36590000000001</v>
      </c>
      <c r="AB56" t="s">
        <v>44</v>
      </c>
      <c r="AC56">
        <v>0.24235400000000001</v>
      </c>
      <c r="AD56" t="s">
        <v>45</v>
      </c>
      <c r="AF56">
        <v>155.946</v>
      </c>
    </row>
    <row r="57" spans="5:32" x14ac:dyDescent="0.3">
      <c r="E57">
        <v>26</v>
      </c>
      <c r="F57">
        <v>19</v>
      </c>
      <c r="J57" t="s">
        <v>46</v>
      </c>
      <c r="K57">
        <v>6.4280000000000004E-2</v>
      </c>
      <c r="L57" t="s">
        <v>47</v>
      </c>
      <c r="N57">
        <v>629.82389999999998</v>
      </c>
      <c r="P57" t="s">
        <v>46</v>
      </c>
      <c r="Q57">
        <v>-8413359752734.7598</v>
      </c>
      <c r="R57" t="s">
        <v>47</v>
      </c>
      <c r="T57">
        <v>634.24590000000001</v>
      </c>
      <c r="V57" t="s">
        <v>46</v>
      </c>
      <c r="W57">
        <v>0.21185200000000001</v>
      </c>
      <c r="X57" t="s">
        <v>47</v>
      </c>
      <c r="Z57">
        <v>659.5222</v>
      </c>
      <c r="AB57" t="s">
        <v>46</v>
      </c>
      <c r="AC57">
        <v>0.21867800000000001</v>
      </c>
      <c r="AD57" t="s">
        <v>47</v>
      </c>
      <c r="AF57">
        <v>678.23220000000003</v>
      </c>
    </row>
    <row r="58" spans="5:32" x14ac:dyDescent="0.3">
      <c r="J58" t="s">
        <v>48</v>
      </c>
      <c r="K58">
        <v>609.24519999999995</v>
      </c>
      <c r="L58" t="s">
        <v>49</v>
      </c>
      <c r="N58">
        <v>15.62566</v>
      </c>
      <c r="P58" t="s">
        <v>48</v>
      </c>
      <c r="Q58" s="1">
        <v>1840000000</v>
      </c>
      <c r="R58" t="s">
        <v>49</v>
      </c>
      <c r="T58">
        <v>28.855930000000001</v>
      </c>
      <c r="V58" t="s">
        <v>48</v>
      </c>
      <c r="W58">
        <v>585.50869999999998</v>
      </c>
      <c r="X58" t="s">
        <v>49</v>
      </c>
      <c r="Z58">
        <v>15.685779999999999</v>
      </c>
      <c r="AB58" t="s">
        <v>48</v>
      </c>
      <c r="AC58">
        <v>599.5059</v>
      </c>
      <c r="AD58" t="s">
        <v>49</v>
      </c>
      <c r="AF58">
        <v>15.581390000000001</v>
      </c>
    </row>
    <row r="59" spans="5:32" x14ac:dyDescent="0.3">
      <c r="J59" t="s">
        <v>50</v>
      </c>
      <c r="K59">
        <v>43799209</v>
      </c>
      <c r="L59" t="s">
        <v>51</v>
      </c>
      <c r="N59">
        <v>15.78655</v>
      </c>
      <c r="P59" t="s">
        <v>50</v>
      </c>
      <c r="Q59" s="1">
        <v>3.89E+20</v>
      </c>
      <c r="R59" t="s">
        <v>51</v>
      </c>
      <c r="T59">
        <v>29.019400000000001</v>
      </c>
      <c r="V59" t="s">
        <v>50</v>
      </c>
      <c r="W59">
        <v>35310499</v>
      </c>
      <c r="X59" t="s">
        <v>51</v>
      </c>
      <c r="Z59">
        <v>15.86064</v>
      </c>
      <c r="AB59" t="s">
        <v>50</v>
      </c>
      <c r="AC59">
        <v>34503108</v>
      </c>
      <c r="AD59" t="s">
        <v>51</v>
      </c>
      <c r="AF59">
        <v>15.76376</v>
      </c>
    </row>
    <row r="60" spans="5:32" x14ac:dyDescent="0.3">
      <c r="J60" t="s">
        <v>52</v>
      </c>
      <c r="K60">
        <v>-946.16520000000003</v>
      </c>
      <c r="L60" t="s">
        <v>53</v>
      </c>
      <c r="N60">
        <v>15.69101</v>
      </c>
      <c r="P60" t="s">
        <v>52</v>
      </c>
      <c r="Q60">
        <v>-1709.9280000000001</v>
      </c>
      <c r="R60" t="s">
        <v>53</v>
      </c>
      <c r="T60">
        <v>28.92231</v>
      </c>
      <c r="V60" t="s">
        <v>52</v>
      </c>
      <c r="W60">
        <v>-832.18920000000003</v>
      </c>
      <c r="X60" t="s">
        <v>53</v>
      </c>
      <c r="Z60">
        <v>15.75666</v>
      </c>
      <c r="AB60" t="s">
        <v>52</v>
      </c>
      <c r="AC60">
        <v>-772.06970000000001</v>
      </c>
      <c r="AD60" t="s">
        <v>53</v>
      </c>
      <c r="AF60">
        <v>15.655200000000001</v>
      </c>
    </row>
    <row r="61" spans="5:32" x14ac:dyDescent="0.3">
      <c r="J61" t="s">
        <v>54</v>
      </c>
      <c r="K61">
        <v>1.852142</v>
      </c>
      <c r="P61" t="s">
        <v>54</v>
      </c>
      <c r="Q61">
        <v>4.3066E-2</v>
      </c>
      <c r="V61" t="s">
        <v>54</v>
      </c>
      <c r="W61">
        <v>1.9136</v>
      </c>
      <c r="AB61" t="s">
        <v>54</v>
      </c>
      <c r="AC61">
        <v>2.0916860000000002</v>
      </c>
    </row>
    <row r="68" spans="10:28" x14ac:dyDescent="0.3">
      <c r="J68" t="s">
        <v>57</v>
      </c>
      <c r="P68" t="s">
        <v>57</v>
      </c>
      <c r="V68" t="s">
        <v>57</v>
      </c>
    </row>
    <row r="70" spans="10:28" x14ac:dyDescent="0.3">
      <c r="J70" t="s">
        <v>33</v>
      </c>
      <c r="K70" t="s">
        <v>34</v>
      </c>
      <c r="L70" t="s">
        <v>35</v>
      </c>
      <c r="M70" t="s">
        <v>36</v>
      </c>
      <c r="N70" t="s">
        <v>37</v>
      </c>
      <c r="P70" t="s">
        <v>33</v>
      </c>
      <c r="Q70" t="s">
        <v>34</v>
      </c>
      <c r="R70" t="s">
        <v>35</v>
      </c>
      <c r="S70" t="s">
        <v>36</v>
      </c>
      <c r="T70" t="s">
        <v>37</v>
      </c>
      <c r="V70" t="s">
        <v>33</v>
      </c>
      <c r="W70" t="s">
        <v>34</v>
      </c>
      <c r="X70" t="s">
        <v>35</v>
      </c>
      <c r="Y70" t="s">
        <v>36</v>
      </c>
      <c r="Z70" t="s">
        <v>37</v>
      </c>
    </row>
    <row r="71" spans="10:28" x14ac:dyDescent="0.3">
      <c r="J71" t="s">
        <v>58</v>
      </c>
      <c r="K71">
        <v>2.0625000000000001E-2</v>
      </c>
      <c r="L71">
        <v>0.174786</v>
      </c>
      <c r="M71">
        <v>0.118003</v>
      </c>
      <c r="N71">
        <v>0.90610000000000002</v>
      </c>
      <c r="P71" t="s">
        <v>58</v>
      </c>
      <c r="Q71">
        <v>0.46285900000000002</v>
      </c>
      <c r="R71">
        <v>0.30357400000000001</v>
      </c>
      <c r="S71">
        <v>1.5247010000000001</v>
      </c>
      <c r="T71">
        <v>0.1273</v>
      </c>
      <c r="V71" t="s">
        <v>58</v>
      </c>
      <c r="W71">
        <v>0.50526000000000004</v>
      </c>
      <c r="X71">
        <v>0.30557200000000001</v>
      </c>
      <c r="Y71">
        <v>1.653492</v>
      </c>
      <c r="Z71">
        <v>9.8199999999999996E-2</v>
      </c>
    </row>
    <row r="72" spans="10:28" x14ac:dyDescent="0.3">
      <c r="J72" t="s">
        <v>38</v>
      </c>
      <c r="K72">
        <v>136.33930000000001</v>
      </c>
      <c r="L72">
        <v>114.3049</v>
      </c>
      <c r="M72">
        <v>1.192769</v>
      </c>
      <c r="N72">
        <v>0.23300000000000001</v>
      </c>
      <c r="P72" t="s">
        <v>38</v>
      </c>
      <c r="Q72">
        <v>-154.80420000000001</v>
      </c>
      <c r="R72">
        <v>188.92660000000001</v>
      </c>
      <c r="S72">
        <v>-0.81938800000000001</v>
      </c>
      <c r="T72">
        <v>0.41260000000000002</v>
      </c>
      <c r="V72" t="s">
        <v>38</v>
      </c>
      <c r="W72">
        <v>-126.4804</v>
      </c>
      <c r="X72">
        <v>195.17189999999999</v>
      </c>
      <c r="Y72">
        <v>-0.64804600000000001</v>
      </c>
      <c r="Z72">
        <v>0.51700000000000002</v>
      </c>
    </row>
    <row r="73" spans="10:28" x14ac:dyDescent="0.3">
      <c r="J73" t="s">
        <v>65</v>
      </c>
      <c r="K73">
        <v>0.103603</v>
      </c>
      <c r="L73">
        <v>0.10438799999999999</v>
      </c>
      <c r="M73">
        <v>0.99247300000000005</v>
      </c>
      <c r="N73">
        <v>0.32100000000000001</v>
      </c>
      <c r="P73" t="s">
        <v>67</v>
      </c>
      <c r="Q73">
        <v>-0.27335300000000001</v>
      </c>
      <c r="R73">
        <v>0.10341400000000001</v>
      </c>
      <c r="S73">
        <v>-2.6432730000000002</v>
      </c>
      <c r="T73">
        <v>8.2000000000000007E-3</v>
      </c>
      <c r="V73" t="s">
        <v>69</v>
      </c>
      <c r="W73">
        <v>-0.31872200000000001</v>
      </c>
      <c r="X73">
        <v>0.112014</v>
      </c>
      <c r="Y73">
        <v>-2.8453750000000002</v>
      </c>
      <c r="Z73">
        <v>4.4000000000000003E-3</v>
      </c>
      <c r="AB73" t="s">
        <v>244</v>
      </c>
    </row>
    <row r="74" spans="10:28" x14ac:dyDescent="0.3">
      <c r="J74" t="s">
        <v>70</v>
      </c>
      <c r="K74">
        <v>-0.59485299999999997</v>
      </c>
      <c r="L74">
        <v>6.5258999999999998E-2</v>
      </c>
      <c r="M74">
        <v>-9.1152069999999998</v>
      </c>
      <c r="N74">
        <v>0</v>
      </c>
      <c r="P74" t="s">
        <v>70</v>
      </c>
      <c r="Q74">
        <v>-0.84756299999999996</v>
      </c>
      <c r="R74">
        <v>1.7010999999999998E-2</v>
      </c>
      <c r="S74">
        <v>-49.824840000000002</v>
      </c>
      <c r="T74">
        <v>0</v>
      </c>
      <c r="V74" t="s">
        <v>68</v>
      </c>
      <c r="W74">
        <v>-0.85611700000000002</v>
      </c>
      <c r="X74">
        <v>1.6795999999999998E-2</v>
      </c>
      <c r="Y74">
        <v>-50.972160000000002</v>
      </c>
      <c r="Z74">
        <v>0</v>
      </c>
      <c r="AB74" t="s">
        <v>245</v>
      </c>
    </row>
    <row r="75" spans="10:28" x14ac:dyDescent="0.3">
      <c r="K75" t="s">
        <v>41</v>
      </c>
      <c r="Q75" t="s">
        <v>41</v>
      </c>
      <c r="W75" t="s">
        <v>41</v>
      </c>
    </row>
    <row r="76" spans="10:28" x14ac:dyDescent="0.3">
      <c r="J76" t="s">
        <v>38</v>
      </c>
      <c r="K76">
        <v>1552.684</v>
      </c>
      <c r="L76">
        <v>622.38660000000004</v>
      </c>
      <c r="M76">
        <v>2.4947249999999999</v>
      </c>
      <c r="N76">
        <v>1.26E-2</v>
      </c>
      <c r="P76" t="s">
        <v>38</v>
      </c>
      <c r="Q76">
        <v>209733.3</v>
      </c>
      <c r="R76">
        <v>30750</v>
      </c>
      <c r="S76">
        <v>6.8205970000000002</v>
      </c>
      <c r="T76">
        <v>0</v>
      </c>
      <c r="V76" t="s">
        <v>38</v>
      </c>
      <c r="W76">
        <v>133102.9</v>
      </c>
      <c r="X76">
        <v>162038.39999999999</v>
      </c>
      <c r="Y76">
        <v>0.82142800000000005</v>
      </c>
      <c r="Z76">
        <v>0.41139999999999999</v>
      </c>
    </row>
    <row r="77" spans="10:28" x14ac:dyDescent="0.3">
      <c r="J77" t="s">
        <v>42</v>
      </c>
      <c r="K77">
        <v>-6.5285999999999997E-2</v>
      </c>
      <c r="L77">
        <v>7.7470000000000004E-3</v>
      </c>
      <c r="M77">
        <v>-8.4273640000000007</v>
      </c>
      <c r="N77">
        <v>0</v>
      </c>
      <c r="P77" t="s">
        <v>42</v>
      </c>
      <c r="Q77">
        <v>-0.10521</v>
      </c>
      <c r="R77">
        <v>4.4912000000000001E-2</v>
      </c>
      <c r="S77">
        <v>-2.3425699999999998</v>
      </c>
      <c r="T77">
        <v>1.9199999999999998E-2</v>
      </c>
      <c r="V77" t="s">
        <v>42</v>
      </c>
      <c r="W77">
        <v>-8.4081000000000003E-2</v>
      </c>
      <c r="X77">
        <v>5.4748999999999999E-2</v>
      </c>
      <c r="Y77">
        <v>-1.5357620000000001</v>
      </c>
      <c r="Z77">
        <v>0.1246</v>
      </c>
    </row>
    <row r="78" spans="10:28" x14ac:dyDescent="0.3">
      <c r="J78" t="s">
        <v>43</v>
      </c>
      <c r="K78">
        <v>1.086492</v>
      </c>
      <c r="L78">
        <v>1.16E-4</v>
      </c>
      <c r="M78">
        <v>9345.4560000000001</v>
      </c>
      <c r="N78">
        <v>0</v>
      </c>
      <c r="P78" t="s">
        <v>43</v>
      </c>
      <c r="Q78">
        <v>0.42557800000000001</v>
      </c>
      <c r="R78">
        <v>3.4368000000000003E-2</v>
      </c>
      <c r="S78">
        <v>12.38293</v>
      </c>
      <c r="T78">
        <v>0</v>
      </c>
      <c r="V78" t="s">
        <v>43</v>
      </c>
      <c r="W78">
        <v>0.66848300000000005</v>
      </c>
      <c r="X78">
        <v>0.43268099999999998</v>
      </c>
      <c r="Y78">
        <v>1.544977</v>
      </c>
      <c r="Z78">
        <v>0.12239999999999999</v>
      </c>
    </row>
    <row r="79" spans="10:28" x14ac:dyDescent="0.3">
      <c r="J79" t="s">
        <v>44</v>
      </c>
      <c r="K79">
        <v>8.5540000000000005E-2</v>
      </c>
      <c r="L79" t="s">
        <v>45</v>
      </c>
      <c r="N79">
        <v>141.15170000000001</v>
      </c>
      <c r="P79" t="s">
        <v>44</v>
      </c>
      <c r="Q79">
        <v>0.25210500000000002</v>
      </c>
      <c r="R79" t="s">
        <v>45</v>
      </c>
      <c r="T79">
        <v>149.36590000000001</v>
      </c>
      <c r="V79" t="s">
        <v>44</v>
      </c>
      <c r="W79">
        <v>0.31358900000000001</v>
      </c>
      <c r="X79" t="s">
        <v>45</v>
      </c>
      <c r="Z79">
        <v>155.946</v>
      </c>
    </row>
    <row r="80" spans="10:28" x14ac:dyDescent="0.3">
      <c r="J80" t="s">
        <v>46</v>
      </c>
      <c r="K80">
        <v>6.1684999999999997E-2</v>
      </c>
      <c r="L80" t="s">
        <v>47</v>
      </c>
      <c r="N80">
        <v>634.24590000000001</v>
      </c>
      <c r="P80" t="s">
        <v>46</v>
      </c>
      <c r="Q80">
        <v>0.230322</v>
      </c>
      <c r="R80" t="s">
        <v>47</v>
      </c>
      <c r="T80">
        <v>659.5222</v>
      </c>
      <c r="V80" t="s">
        <v>46</v>
      </c>
      <c r="W80">
        <v>0.29213899999999998</v>
      </c>
      <c r="X80" t="s">
        <v>47</v>
      </c>
      <c r="Z80">
        <v>678.23220000000003</v>
      </c>
    </row>
    <row r="81" spans="10:26" x14ac:dyDescent="0.3">
      <c r="J81" t="s">
        <v>48</v>
      </c>
      <c r="K81">
        <v>614.37300000000005</v>
      </c>
      <c r="L81" t="s">
        <v>49</v>
      </c>
      <c r="N81">
        <v>15.38355</v>
      </c>
      <c r="P81" t="s">
        <v>48</v>
      </c>
      <c r="Q81">
        <v>578.60749999999996</v>
      </c>
      <c r="R81" t="s">
        <v>49</v>
      </c>
      <c r="T81">
        <v>15.589869999999999</v>
      </c>
      <c r="V81" t="s">
        <v>48</v>
      </c>
      <c r="W81">
        <v>570.62710000000004</v>
      </c>
      <c r="X81" t="s">
        <v>49</v>
      </c>
      <c r="Z81">
        <v>15.5307</v>
      </c>
    </row>
    <row r="82" spans="10:26" x14ac:dyDescent="0.3">
      <c r="J82" t="s">
        <v>50</v>
      </c>
      <c r="K82">
        <v>43407224</v>
      </c>
      <c r="L82" t="s">
        <v>51</v>
      </c>
      <c r="N82">
        <v>15.54702</v>
      </c>
      <c r="P82" t="s">
        <v>50</v>
      </c>
      <c r="Q82">
        <v>34483026</v>
      </c>
      <c r="R82" t="s">
        <v>51</v>
      </c>
      <c r="T82">
        <v>15.764720000000001</v>
      </c>
      <c r="V82" t="s">
        <v>50</v>
      </c>
      <c r="W82">
        <v>31259069</v>
      </c>
      <c r="X82" t="s">
        <v>51</v>
      </c>
      <c r="Z82">
        <v>15.71307</v>
      </c>
    </row>
    <row r="83" spans="10:26" x14ac:dyDescent="0.3">
      <c r="J83" t="s">
        <v>52</v>
      </c>
      <c r="K83">
        <v>-908.32100000000003</v>
      </c>
      <c r="L83" t="s">
        <v>53</v>
      </c>
      <c r="N83">
        <v>15.44993</v>
      </c>
      <c r="P83" t="s">
        <v>52</v>
      </c>
      <c r="Q83">
        <v>-827.05780000000004</v>
      </c>
      <c r="R83" t="s">
        <v>53</v>
      </c>
      <c r="T83">
        <v>15.66075</v>
      </c>
      <c r="V83" t="s">
        <v>52</v>
      </c>
      <c r="W83">
        <v>-769.53520000000003</v>
      </c>
      <c r="X83" t="s">
        <v>53</v>
      </c>
      <c r="Z83">
        <v>15.604509999999999</v>
      </c>
    </row>
    <row r="84" spans="10:26" x14ac:dyDescent="0.3">
      <c r="J84" t="s">
        <v>54</v>
      </c>
      <c r="K84">
        <v>2.012626</v>
      </c>
      <c r="P84" t="s">
        <v>54</v>
      </c>
      <c r="Q84">
        <v>2.0910310000000001</v>
      </c>
      <c r="V84" t="s">
        <v>54</v>
      </c>
      <c r="W84">
        <v>1.915251</v>
      </c>
    </row>
    <row r="93" spans="10:26" x14ac:dyDescent="0.3">
      <c r="K93" t="s">
        <v>71</v>
      </c>
    </row>
    <row r="95" spans="10:26" x14ac:dyDescent="0.3">
      <c r="K95" t="s">
        <v>33</v>
      </c>
      <c r="L95" t="s">
        <v>34</v>
      </c>
      <c r="M95" t="s">
        <v>35</v>
      </c>
      <c r="N95" t="s">
        <v>36</v>
      </c>
      <c r="O95" t="s">
        <v>37</v>
      </c>
    </row>
    <row r="96" spans="10:26" x14ac:dyDescent="0.3">
      <c r="K96" t="s">
        <v>58</v>
      </c>
      <c r="L96">
        <v>0.44866099999999998</v>
      </c>
      <c r="M96">
        <v>0.459374</v>
      </c>
      <c r="N96">
        <v>0.97667700000000002</v>
      </c>
      <c r="O96">
        <v>0.32869999999999999</v>
      </c>
    </row>
    <row r="97" spans="11:17" x14ac:dyDescent="0.3">
      <c r="K97" t="s">
        <v>38</v>
      </c>
      <c r="L97">
        <v>-46.782470000000004</v>
      </c>
      <c r="M97">
        <v>242.31280000000001</v>
      </c>
      <c r="N97">
        <v>-0.19306599999999999</v>
      </c>
      <c r="O97">
        <v>0.84689999999999999</v>
      </c>
    </row>
    <row r="98" spans="11:17" x14ac:dyDescent="0.3">
      <c r="K98" t="s">
        <v>69</v>
      </c>
      <c r="L98">
        <v>-0.61616700000000002</v>
      </c>
      <c r="M98">
        <v>9.8039000000000001E-2</v>
      </c>
      <c r="N98">
        <v>-6.2849320000000004</v>
      </c>
      <c r="O98">
        <v>0</v>
      </c>
    </row>
    <row r="99" spans="11:17" x14ac:dyDescent="0.3">
      <c r="K99" t="s">
        <v>67</v>
      </c>
      <c r="L99">
        <v>-0.10444100000000001</v>
      </c>
      <c r="M99">
        <v>0.109597</v>
      </c>
      <c r="N99">
        <v>-0.95295600000000003</v>
      </c>
      <c r="O99">
        <v>0.34060000000000001</v>
      </c>
      <c r="Q99" t="s">
        <v>242</v>
      </c>
    </row>
    <row r="100" spans="11:17" x14ac:dyDescent="0.3">
      <c r="K100" t="s">
        <v>70</v>
      </c>
      <c r="L100">
        <v>0.79996100000000003</v>
      </c>
      <c r="M100">
        <v>2.9017999999999999E-2</v>
      </c>
      <c r="N100">
        <v>27.568149999999999</v>
      </c>
      <c r="O100">
        <v>0</v>
      </c>
      <c r="Q100" t="s">
        <v>243</v>
      </c>
    </row>
    <row r="101" spans="11:17" x14ac:dyDescent="0.3">
      <c r="K101" t="s">
        <v>68</v>
      </c>
      <c r="L101">
        <v>-1.6537E-2</v>
      </c>
      <c r="M101">
        <v>6.0925E-2</v>
      </c>
      <c r="N101">
        <v>-0.27143299999999998</v>
      </c>
      <c r="O101">
        <v>0.78610000000000002</v>
      </c>
    </row>
    <row r="102" spans="11:17" x14ac:dyDescent="0.3">
      <c r="L102" t="s">
        <v>41</v>
      </c>
    </row>
    <row r="103" spans="11:17" x14ac:dyDescent="0.3">
      <c r="K103" t="s">
        <v>38</v>
      </c>
      <c r="L103">
        <v>246848.4</v>
      </c>
      <c r="M103">
        <v>51354.25</v>
      </c>
      <c r="N103">
        <v>4.8067760000000002</v>
      </c>
      <c r="O103">
        <v>0</v>
      </c>
    </row>
    <row r="104" spans="11:17" x14ac:dyDescent="0.3">
      <c r="K104" t="s">
        <v>42</v>
      </c>
      <c r="L104">
        <v>0.59169400000000005</v>
      </c>
      <c r="M104">
        <v>0.25822099999999998</v>
      </c>
      <c r="N104">
        <v>2.2914249999999998</v>
      </c>
      <c r="O104">
        <v>2.1899999999999999E-2</v>
      </c>
    </row>
    <row r="105" spans="11:17" x14ac:dyDescent="0.3">
      <c r="K105" t="s">
        <v>43</v>
      </c>
      <c r="L105">
        <v>-5.7861000000000003E-2</v>
      </c>
      <c r="M105">
        <v>3.0544999999999999E-2</v>
      </c>
      <c r="N105">
        <v>-1.894325</v>
      </c>
      <c r="O105">
        <v>5.8200000000000002E-2</v>
      </c>
    </row>
    <row r="106" spans="11:17" x14ac:dyDescent="0.3">
      <c r="K106" t="s">
        <v>44</v>
      </c>
      <c r="L106">
        <v>0.27860099999999999</v>
      </c>
      <c r="M106" t="s">
        <v>45</v>
      </c>
      <c r="O106">
        <v>155.946</v>
      </c>
    </row>
    <row r="107" spans="11:17" x14ac:dyDescent="0.3">
      <c r="K107" t="s">
        <v>46</v>
      </c>
      <c r="L107">
        <v>0.240229</v>
      </c>
      <c r="M107" t="s">
        <v>47</v>
      </c>
      <c r="O107">
        <v>678.23220000000003</v>
      </c>
    </row>
    <row r="108" spans="11:17" x14ac:dyDescent="0.3">
      <c r="K108" t="s">
        <v>48</v>
      </c>
      <c r="L108">
        <v>591.17989999999998</v>
      </c>
      <c r="M108" t="s">
        <v>49</v>
      </c>
      <c r="O108">
        <v>15.56551</v>
      </c>
    </row>
    <row r="109" spans="11:17" x14ac:dyDescent="0.3">
      <c r="K109" t="s">
        <v>50</v>
      </c>
      <c r="L109">
        <v>32852408</v>
      </c>
      <c r="M109" t="s">
        <v>51</v>
      </c>
      <c r="O109">
        <v>15.79997</v>
      </c>
    </row>
    <row r="110" spans="11:17" x14ac:dyDescent="0.3">
      <c r="K110" t="s">
        <v>52</v>
      </c>
      <c r="L110">
        <v>-769.27539999999999</v>
      </c>
      <c r="M110" t="s">
        <v>53</v>
      </c>
      <c r="O110">
        <v>15.660399999999999</v>
      </c>
    </row>
    <row r="111" spans="11:17" x14ac:dyDescent="0.3">
      <c r="K111" t="s">
        <v>54</v>
      </c>
      <c r="L111">
        <v>1.784578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45FF-702E-4151-830A-AAA17BD9EAAC}">
  <dimension ref="A1"/>
  <sheetViews>
    <sheetView zoomScale="58" zoomScaleNormal="85" workbookViewId="0">
      <selection activeCell="M52" sqref="M52"/>
    </sheetView>
  </sheetViews>
  <sheetFormatPr defaultRowHeight="14.4" x14ac:dyDescent="0.3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Views.Workfile.2" shapeId="5121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342900</xdr:colOff>
                <xdr:row>26</xdr:row>
                <xdr:rowOff>60960</xdr:rowOff>
              </to>
            </anchor>
          </objectPr>
        </oleObject>
      </mc:Choice>
      <mc:Fallback>
        <oleObject progId="EViews.Workfile.2" shapeId="5121" r:id="rId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3D8D-5328-4F6A-A050-53AC60676BB4}">
  <dimension ref="J4:J18"/>
  <sheetViews>
    <sheetView zoomScale="70" zoomScaleNormal="70" workbookViewId="0">
      <selection activeCell="Q9" sqref="Q9"/>
    </sheetView>
  </sheetViews>
  <sheetFormatPr defaultRowHeight="14.4" x14ac:dyDescent="0.3"/>
  <sheetData>
    <row r="4" spans="10:10" x14ac:dyDescent="0.3">
      <c r="J4" t="s">
        <v>72</v>
      </c>
    </row>
    <row r="5" spans="10:10" x14ac:dyDescent="0.3">
      <c r="J5" t="s">
        <v>73</v>
      </c>
    </row>
    <row r="6" spans="10:10" x14ac:dyDescent="0.3">
      <c r="J6" t="s">
        <v>74</v>
      </c>
    </row>
    <row r="8" spans="10:10" x14ac:dyDescent="0.3">
      <c r="J8" t="s">
        <v>75</v>
      </c>
    </row>
    <row r="9" spans="10:10" x14ac:dyDescent="0.3">
      <c r="J9" t="s">
        <v>73</v>
      </c>
    </row>
    <row r="10" spans="10:10" x14ac:dyDescent="0.3">
      <c r="J10" t="s">
        <v>76</v>
      </c>
    </row>
    <row r="12" spans="10:10" x14ac:dyDescent="0.3">
      <c r="J12" t="s">
        <v>71</v>
      </c>
    </row>
    <row r="14" spans="10:10" x14ac:dyDescent="0.3">
      <c r="J14" t="s">
        <v>77</v>
      </c>
    </row>
    <row r="15" spans="10:10" x14ac:dyDescent="0.3">
      <c r="J15" t="s">
        <v>73</v>
      </c>
    </row>
    <row r="16" spans="10:10" x14ac:dyDescent="0.3">
      <c r="J16" t="s">
        <v>78</v>
      </c>
    </row>
    <row r="18" spans="10:10" x14ac:dyDescent="0.3">
      <c r="J18" t="s">
        <v>79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Views.Workfile.2" shapeId="6145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8</xdr:col>
                <xdr:colOff>327660</xdr:colOff>
                <xdr:row>17</xdr:row>
                <xdr:rowOff>22860</xdr:rowOff>
              </to>
            </anchor>
          </objectPr>
        </oleObject>
      </mc:Choice>
      <mc:Fallback>
        <oleObject progId="EViews.Workfile.2" shapeId="6145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B84F-5A09-4F36-BF09-C6DA2EAE77A8}">
  <dimension ref="A1:M145"/>
  <sheetViews>
    <sheetView zoomScale="55" zoomScaleNormal="55" workbookViewId="0">
      <selection activeCell="U128" sqref="U12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G1" t="s">
        <v>80</v>
      </c>
      <c r="K1" t="s">
        <v>0</v>
      </c>
      <c r="L1" t="s">
        <v>1</v>
      </c>
      <c r="M1" t="s">
        <v>224</v>
      </c>
    </row>
    <row r="2" spans="1:13" x14ac:dyDescent="0.3">
      <c r="A2">
        <v>201501</v>
      </c>
      <c r="B2">
        <v>8808.900390625</v>
      </c>
      <c r="G2" t="s">
        <v>81</v>
      </c>
      <c r="K2">
        <v>201501</v>
      </c>
      <c r="L2">
        <v>8808.900390625</v>
      </c>
    </row>
    <row r="3" spans="1:13" x14ac:dyDescent="0.3">
      <c r="A3">
        <v>201502</v>
      </c>
      <c r="B3">
        <v>8901.85</v>
      </c>
      <c r="G3" t="s">
        <v>82</v>
      </c>
      <c r="K3">
        <v>201502</v>
      </c>
      <c r="L3">
        <v>8901.85</v>
      </c>
    </row>
    <row r="4" spans="1:13" x14ac:dyDescent="0.3">
      <c r="A4">
        <v>201503</v>
      </c>
      <c r="B4">
        <v>8491</v>
      </c>
      <c r="G4" t="s">
        <v>83</v>
      </c>
      <c r="K4">
        <v>201503</v>
      </c>
      <c r="L4">
        <v>8491</v>
      </c>
    </row>
    <row r="5" spans="1:13" x14ac:dyDescent="0.3">
      <c r="A5">
        <v>201504</v>
      </c>
      <c r="B5">
        <v>8181.5</v>
      </c>
      <c r="G5" t="s">
        <v>84</v>
      </c>
      <c r="K5">
        <v>201504</v>
      </c>
      <c r="L5">
        <v>8181.5</v>
      </c>
    </row>
    <row r="6" spans="1:13" x14ac:dyDescent="0.3">
      <c r="A6">
        <v>201505</v>
      </c>
      <c r="B6">
        <v>8433.65</v>
      </c>
      <c r="G6" t="s">
        <v>85</v>
      </c>
      <c r="K6">
        <v>201505</v>
      </c>
      <c r="L6">
        <v>8433.65</v>
      </c>
    </row>
    <row r="7" spans="1:13" x14ac:dyDescent="0.3">
      <c r="A7">
        <v>201506</v>
      </c>
      <c r="B7">
        <v>8368.5</v>
      </c>
      <c r="G7" t="s">
        <v>86</v>
      </c>
      <c r="K7">
        <v>201506</v>
      </c>
      <c r="L7">
        <v>8368.5</v>
      </c>
    </row>
    <row r="8" spans="1:13" x14ac:dyDescent="0.3">
      <c r="A8">
        <v>201507</v>
      </c>
      <c r="B8">
        <v>8532.85</v>
      </c>
      <c r="G8" t="s">
        <v>87</v>
      </c>
      <c r="K8">
        <v>201507</v>
      </c>
      <c r="L8">
        <v>8532.85</v>
      </c>
    </row>
    <row r="9" spans="1:13" x14ac:dyDescent="0.3">
      <c r="A9">
        <v>201508</v>
      </c>
      <c r="B9">
        <v>7971.3</v>
      </c>
      <c r="G9" t="s">
        <v>88</v>
      </c>
      <c r="K9">
        <v>201508</v>
      </c>
      <c r="L9">
        <v>7971.3</v>
      </c>
    </row>
    <row r="10" spans="1:13" x14ac:dyDescent="0.3">
      <c r="A10">
        <v>201509</v>
      </c>
      <c r="B10">
        <v>7948.9</v>
      </c>
      <c r="G10" t="s">
        <v>89</v>
      </c>
      <c r="K10">
        <v>201509</v>
      </c>
      <c r="L10">
        <v>7948.9</v>
      </c>
    </row>
    <row r="11" spans="1:13" x14ac:dyDescent="0.3">
      <c r="A11">
        <v>201510</v>
      </c>
      <c r="B11">
        <v>8065.8</v>
      </c>
      <c r="G11" t="s">
        <v>90</v>
      </c>
      <c r="K11">
        <v>201510</v>
      </c>
      <c r="L11">
        <v>8065.8</v>
      </c>
    </row>
    <row r="12" spans="1:13" x14ac:dyDescent="0.3">
      <c r="A12">
        <v>201511</v>
      </c>
      <c r="B12">
        <v>7935.25</v>
      </c>
      <c r="G12" t="s">
        <v>91</v>
      </c>
      <c r="K12">
        <v>201511</v>
      </c>
      <c r="L12">
        <v>7935.25</v>
      </c>
    </row>
    <row r="13" spans="1:13" x14ac:dyDescent="0.3">
      <c r="A13">
        <v>201512</v>
      </c>
      <c r="B13">
        <v>7946.35</v>
      </c>
      <c r="G13" t="s">
        <v>92</v>
      </c>
      <c r="K13">
        <v>201512</v>
      </c>
      <c r="L13">
        <v>7946.35</v>
      </c>
    </row>
    <row r="14" spans="1:13" x14ac:dyDescent="0.3">
      <c r="A14">
        <v>201601</v>
      </c>
      <c r="B14">
        <v>7563.55</v>
      </c>
      <c r="G14" t="s">
        <v>93</v>
      </c>
      <c r="K14">
        <v>201601</v>
      </c>
      <c r="L14">
        <v>7563.55</v>
      </c>
    </row>
    <row r="15" spans="1:13" x14ac:dyDescent="0.3">
      <c r="A15">
        <v>201602</v>
      </c>
      <c r="B15">
        <v>6987.05</v>
      </c>
      <c r="G15" t="s">
        <v>94</v>
      </c>
      <c r="K15">
        <v>201602</v>
      </c>
      <c r="L15">
        <v>6987.05</v>
      </c>
    </row>
    <row r="16" spans="1:13" x14ac:dyDescent="0.3">
      <c r="A16">
        <v>201603</v>
      </c>
      <c r="B16">
        <v>7738.4</v>
      </c>
      <c r="G16" t="s">
        <v>95</v>
      </c>
      <c r="K16">
        <v>201603</v>
      </c>
      <c r="L16">
        <v>7738.4</v>
      </c>
    </row>
    <row r="17" spans="1:12" x14ac:dyDescent="0.3">
      <c r="A17">
        <v>201604</v>
      </c>
      <c r="B17">
        <v>7849.7998046875</v>
      </c>
      <c r="G17" t="s">
        <v>96</v>
      </c>
      <c r="K17">
        <v>201604</v>
      </c>
      <c r="L17">
        <v>7849.7998046875</v>
      </c>
    </row>
    <row r="18" spans="1:12" x14ac:dyDescent="0.3">
      <c r="A18">
        <v>201605</v>
      </c>
      <c r="B18">
        <v>8160.10009765625</v>
      </c>
      <c r="G18" t="s">
        <v>97</v>
      </c>
      <c r="K18">
        <v>201605</v>
      </c>
      <c r="L18">
        <v>8160.10009765625</v>
      </c>
    </row>
    <row r="19" spans="1:12" x14ac:dyDescent="0.3">
      <c r="A19">
        <v>201606</v>
      </c>
      <c r="B19">
        <v>8287.75</v>
      </c>
      <c r="G19" t="s">
        <v>98</v>
      </c>
      <c r="K19">
        <v>201606</v>
      </c>
      <c r="L19">
        <v>8287.75</v>
      </c>
    </row>
    <row r="20" spans="1:12" x14ac:dyDescent="0.3">
      <c r="A20">
        <v>201607</v>
      </c>
      <c r="B20">
        <v>8638.5</v>
      </c>
      <c r="G20" t="s">
        <v>99</v>
      </c>
      <c r="K20">
        <v>201607</v>
      </c>
      <c r="L20">
        <v>8638.5</v>
      </c>
    </row>
    <row r="21" spans="1:12" x14ac:dyDescent="0.3">
      <c r="A21">
        <v>201608</v>
      </c>
      <c r="B21">
        <v>8786.2001953125</v>
      </c>
      <c r="G21" t="s">
        <v>100</v>
      </c>
      <c r="K21">
        <v>201608</v>
      </c>
      <c r="L21">
        <v>8786.2001953125</v>
      </c>
    </row>
    <row r="22" spans="1:12" x14ac:dyDescent="0.3">
      <c r="A22">
        <v>201609</v>
      </c>
      <c r="B22">
        <v>8611.150390625</v>
      </c>
      <c r="G22" t="s">
        <v>101</v>
      </c>
      <c r="K22">
        <v>201609</v>
      </c>
      <c r="L22">
        <v>8611.150390625</v>
      </c>
    </row>
    <row r="23" spans="1:12" x14ac:dyDescent="0.3">
      <c r="A23">
        <v>201610</v>
      </c>
      <c r="B23">
        <v>8625.7001953125</v>
      </c>
      <c r="G23" t="s">
        <v>102</v>
      </c>
      <c r="K23">
        <v>201610</v>
      </c>
      <c r="L23">
        <v>8625.7001953125</v>
      </c>
    </row>
    <row r="24" spans="1:12" x14ac:dyDescent="0.3">
      <c r="A24">
        <v>201611</v>
      </c>
      <c r="B24">
        <v>8224.5</v>
      </c>
      <c r="G24" t="s">
        <v>103</v>
      </c>
      <c r="K24">
        <v>201611</v>
      </c>
      <c r="L24">
        <v>8224.5</v>
      </c>
    </row>
    <row r="25" spans="1:12" x14ac:dyDescent="0.3">
      <c r="A25">
        <v>201612</v>
      </c>
      <c r="B25">
        <v>8185.7998046875</v>
      </c>
      <c r="G25" t="s">
        <v>104</v>
      </c>
      <c r="K25">
        <v>201612</v>
      </c>
      <c r="L25">
        <v>8185.7998046875</v>
      </c>
    </row>
    <row r="26" spans="1:12" x14ac:dyDescent="0.3">
      <c r="A26">
        <v>201701</v>
      </c>
      <c r="B26">
        <v>8561.2998046875</v>
      </c>
      <c r="G26" t="s">
        <v>105</v>
      </c>
      <c r="K26">
        <v>201701</v>
      </c>
      <c r="L26">
        <v>8561.2998046875</v>
      </c>
    </row>
    <row r="27" spans="1:12" x14ac:dyDescent="0.3">
      <c r="A27">
        <v>201702</v>
      </c>
      <c r="B27">
        <v>8879.599609375</v>
      </c>
      <c r="G27" t="s">
        <v>106</v>
      </c>
      <c r="K27">
        <v>201702</v>
      </c>
      <c r="L27">
        <v>8879.599609375</v>
      </c>
    </row>
    <row r="28" spans="1:12" x14ac:dyDescent="0.3">
      <c r="A28">
        <v>201703</v>
      </c>
      <c r="B28">
        <v>9173.75</v>
      </c>
      <c r="G28" t="s">
        <v>107</v>
      </c>
      <c r="H28">
        <v>758.11337012705803</v>
      </c>
      <c r="K28">
        <v>201703</v>
      </c>
      <c r="L28">
        <v>9173.75</v>
      </c>
    </row>
    <row r="29" spans="1:12" x14ac:dyDescent="0.3">
      <c r="A29">
        <v>201704</v>
      </c>
      <c r="B29">
        <v>9304.0498046875</v>
      </c>
      <c r="C29">
        <v>758.11337012705803</v>
      </c>
      <c r="G29" t="s">
        <v>108</v>
      </c>
      <c r="H29">
        <v>361.01214704235599</v>
      </c>
      <c r="K29">
        <v>201704</v>
      </c>
      <c r="L29">
        <v>9304.0498046875</v>
      </c>
    </row>
    <row r="30" spans="1:12" x14ac:dyDescent="0.3">
      <c r="A30">
        <v>201705</v>
      </c>
      <c r="B30">
        <v>9621.25</v>
      </c>
      <c r="C30">
        <v>361.01214704235599</v>
      </c>
      <c r="G30" t="s">
        <v>109</v>
      </c>
      <c r="H30">
        <v>-282.41917113349098</v>
      </c>
      <c r="K30">
        <v>201705</v>
      </c>
      <c r="L30">
        <v>9621.25</v>
      </c>
    </row>
    <row r="31" spans="1:12" x14ac:dyDescent="0.3">
      <c r="A31">
        <v>201706</v>
      </c>
      <c r="B31">
        <v>9520.900390625</v>
      </c>
      <c r="C31">
        <v>-282.41917113349098</v>
      </c>
      <c r="G31" t="s">
        <v>110</v>
      </c>
      <c r="H31">
        <v>316.41606250960001</v>
      </c>
      <c r="K31">
        <v>201706</v>
      </c>
      <c r="L31">
        <v>9520.900390625</v>
      </c>
    </row>
    <row r="32" spans="1:12" x14ac:dyDescent="0.3">
      <c r="A32">
        <v>201707</v>
      </c>
      <c r="B32">
        <v>10077.099609375</v>
      </c>
      <c r="C32">
        <v>316.41606250960001</v>
      </c>
      <c r="G32" t="s">
        <v>111</v>
      </c>
      <c r="H32">
        <v>108.75276628313701</v>
      </c>
      <c r="K32">
        <v>201707</v>
      </c>
      <c r="L32">
        <v>10077.099609375</v>
      </c>
    </row>
    <row r="33" spans="1:12" x14ac:dyDescent="0.3">
      <c r="A33">
        <v>201708</v>
      </c>
      <c r="B33">
        <v>9917.900390625</v>
      </c>
      <c r="C33">
        <v>108.75276628313701</v>
      </c>
      <c r="G33" t="s">
        <v>112</v>
      </c>
      <c r="H33">
        <v>-6.02449402171032E-2</v>
      </c>
      <c r="K33">
        <v>201708</v>
      </c>
      <c r="L33">
        <v>9917.900390625</v>
      </c>
    </row>
    <row r="34" spans="1:12" x14ac:dyDescent="0.3">
      <c r="A34">
        <v>201709</v>
      </c>
      <c r="B34">
        <v>9788.599609375</v>
      </c>
      <c r="C34">
        <v>-6.02449402171032E-2</v>
      </c>
      <c r="G34" t="s">
        <v>113</v>
      </c>
      <c r="H34">
        <v>395.94644721516403</v>
      </c>
      <c r="K34">
        <v>201709</v>
      </c>
      <c r="L34">
        <v>9788.599609375</v>
      </c>
    </row>
    <row r="35" spans="1:12" x14ac:dyDescent="0.3">
      <c r="A35">
        <v>201710</v>
      </c>
      <c r="B35">
        <v>10335.2998046875</v>
      </c>
      <c r="C35">
        <v>395.94644721516403</v>
      </c>
      <c r="G35" t="s">
        <v>114</v>
      </c>
      <c r="H35">
        <v>378.89497711643702</v>
      </c>
      <c r="K35">
        <v>201710</v>
      </c>
      <c r="L35">
        <v>10335.2998046875</v>
      </c>
    </row>
    <row r="36" spans="1:12" x14ac:dyDescent="0.3">
      <c r="A36">
        <v>201711</v>
      </c>
      <c r="B36">
        <v>10226.5498046875</v>
      </c>
      <c r="C36">
        <v>378.89497711643702</v>
      </c>
      <c r="G36" t="s">
        <v>115</v>
      </c>
      <c r="H36">
        <v>-42.762135184880599</v>
      </c>
      <c r="K36">
        <v>201711</v>
      </c>
      <c r="L36">
        <v>10226.5498046875</v>
      </c>
    </row>
    <row r="37" spans="1:12" x14ac:dyDescent="0.3">
      <c r="A37">
        <v>201712</v>
      </c>
      <c r="B37">
        <v>10530.7001953125</v>
      </c>
      <c r="C37">
        <v>-42.762135184880599</v>
      </c>
      <c r="G37" t="s">
        <v>116</v>
      </c>
      <c r="H37">
        <v>892.53127251532999</v>
      </c>
      <c r="K37">
        <v>201712</v>
      </c>
      <c r="L37">
        <v>10530.7001953125</v>
      </c>
    </row>
    <row r="38" spans="1:12" x14ac:dyDescent="0.3">
      <c r="A38">
        <v>201801</v>
      </c>
      <c r="B38">
        <v>11027.7001953125</v>
      </c>
      <c r="C38">
        <v>892.53127251532999</v>
      </c>
      <c r="G38" t="s">
        <v>117</v>
      </c>
      <c r="H38">
        <v>-368.84053971586002</v>
      </c>
      <c r="K38">
        <v>201801</v>
      </c>
      <c r="L38">
        <v>11027.7001953125</v>
      </c>
    </row>
    <row r="39" spans="1:12" x14ac:dyDescent="0.3">
      <c r="A39">
        <v>201802</v>
      </c>
      <c r="B39">
        <v>10492.849609375</v>
      </c>
      <c r="C39">
        <v>-368.84053971586002</v>
      </c>
      <c r="G39" t="s">
        <v>118</v>
      </c>
      <c r="H39">
        <v>571.58431980883995</v>
      </c>
      <c r="K39">
        <v>201802</v>
      </c>
      <c r="L39">
        <v>10492.849609375</v>
      </c>
    </row>
    <row r="40" spans="1:12" x14ac:dyDescent="0.3">
      <c r="A40">
        <v>201803</v>
      </c>
      <c r="B40">
        <v>10113.7001953125</v>
      </c>
      <c r="C40">
        <v>571.58431980883995</v>
      </c>
      <c r="G40" t="s">
        <v>119</v>
      </c>
      <c r="H40">
        <v>1038.23940653815</v>
      </c>
      <c r="K40">
        <v>201803</v>
      </c>
      <c r="L40">
        <v>10113.7001953125</v>
      </c>
    </row>
    <row r="41" spans="1:12" x14ac:dyDescent="0.3">
      <c r="A41">
        <v>201804</v>
      </c>
      <c r="B41">
        <v>10739.349609375</v>
      </c>
      <c r="C41">
        <v>1038.23940653815</v>
      </c>
      <c r="G41" t="s">
        <v>120</v>
      </c>
      <c r="H41">
        <v>-159.78281004324401</v>
      </c>
      <c r="K41">
        <v>201804</v>
      </c>
      <c r="L41">
        <v>10739.349609375</v>
      </c>
    </row>
    <row r="42" spans="1:12" x14ac:dyDescent="0.3">
      <c r="A42">
        <v>201805</v>
      </c>
      <c r="B42">
        <v>10736.150390625</v>
      </c>
      <c r="C42">
        <v>-159.78281004324401</v>
      </c>
      <c r="G42" t="s">
        <v>121</v>
      </c>
      <c r="H42">
        <v>511.184099955146</v>
      </c>
      <c r="K42">
        <v>201805</v>
      </c>
      <c r="L42">
        <v>10736.150390625</v>
      </c>
    </row>
    <row r="43" spans="1:12" x14ac:dyDescent="0.3">
      <c r="A43">
        <v>201806</v>
      </c>
      <c r="B43">
        <v>10714.2998046875</v>
      </c>
      <c r="C43">
        <v>511.184099955146</v>
      </c>
      <c r="G43" t="s">
        <v>122</v>
      </c>
      <c r="H43">
        <v>736.39197355026897</v>
      </c>
      <c r="K43">
        <v>201806</v>
      </c>
      <c r="L43">
        <v>10714.2998046875</v>
      </c>
    </row>
    <row r="44" spans="1:12" x14ac:dyDescent="0.3">
      <c r="A44">
        <v>201807</v>
      </c>
      <c r="B44">
        <v>11356.5</v>
      </c>
      <c r="C44">
        <v>736.39197355026897</v>
      </c>
      <c r="G44" t="s">
        <v>123</v>
      </c>
      <c r="H44">
        <v>516.50173345225903</v>
      </c>
      <c r="K44">
        <v>201807</v>
      </c>
      <c r="L44">
        <v>11356.5</v>
      </c>
    </row>
    <row r="45" spans="1:12" x14ac:dyDescent="0.3">
      <c r="A45">
        <v>201808</v>
      </c>
      <c r="B45">
        <v>11680.5</v>
      </c>
      <c r="C45">
        <v>516.50173345225903</v>
      </c>
      <c r="G45" t="s">
        <v>124</v>
      </c>
      <c r="H45">
        <v>-907.94247637059902</v>
      </c>
      <c r="K45">
        <v>201808</v>
      </c>
      <c r="L45">
        <v>11680.5</v>
      </c>
    </row>
    <row r="46" spans="1:12" x14ac:dyDescent="0.3">
      <c r="A46">
        <v>201809</v>
      </c>
      <c r="B46">
        <v>10930.4501953125</v>
      </c>
      <c r="C46">
        <v>-907.94247637059902</v>
      </c>
      <c r="G46" t="s">
        <v>125</v>
      </c>
      <c r="H46">
        <v>-608.28809031109597</v>
      </c>
      <c r="K46">
        <v>201809</v>
      </c>
      <c r="L46">
        <v>10930.4501953125</v>
      </c>
    </row>
    <row r="47" spans="1:12" x14ac:dyDescent="0.3">
      <c r="A47">
        <v>201810</v>
      </c>
      <c r="B47">
        <v>10386.599609375</v>
      </c>
      <c r="C47">
        <v>-608.28809031109597</v>
      </c>
      <c r="G47" t="s">
        <v>126</v>
      </c>
      <c r="H47">
        <v>409.90288981150798</v>
      </c>
      <c r="K47">
        <v>201810</v>
      </c>
      <c r="L47">
        <v>10386.599609375</v>
      </c>
    </row>
    <row r="48" spans="1:12" x14ac:dyDescent="0.3">
      <c r="A48">
        <v>201811</v>
      </c>
      <c r="B48">
        <v>10876.75</v>
      </c>
      <c r="C48">
        <v>409.90288981150798</v>
      </c>
      <c r="G48" t="s">
        <v>127</v>
      </c>
      <c r="H48">
        <v>-59.045991089777601</v>
      </c>
      <c r="K48">
        <v>201811</v>
      </c>
      <c r="L48">
        <v>10876.75</v>
      </c>
    </row>
    <row r="49" spans="1:12" x14ac:dyDescent="0.3">
      <c r="A49">
        <v>201812</v>
      </c>
      <c r="B49">
        <v>10862.5498046875</v>
      </c>
      <c r="C49">
        <v>-59.045991089777601</v>
      </c>
      <c r="G49" t="s">
        <v>128</v>
      </c>
      <c r="H49">
        <v>551.44186986361797</v>
      </c>
      <c r="K49">
        <v>201812</v>
      </c>
      <c r="L49">
        <v>10862.5498046875</v>
      </c>
    </row>
    <row r="50" spans="1:12" x14ac:dyDescent="0.3">
      <c r="A50">
        <v>201901</v>
      </c>
      <c r="B50">
        <v>10830.9501953125</v>
      </c>
      <c r="C50">
        <v>551.44186986361797</v>
      </c>
      <c r="G50" t="s">
        <v>129</v>
      </c>
      <c r="H50">
        <v>344.27159552676397</v>
      </c>
      <c r="K50">
        <v>201901</v>
      </c>
      <c r="L50">
        <v>10830.9501953125</v>
      </c>
    </row>
    <row r="51" spans="1:12" x14ac:dyDescent="0.3">
      <c r="A51">
        <v>201902</v>
      </c>
      <c r="B51">
        <v>10792.5</v>
      </c>
      <c r="C51">
        <v>344.27159552676397</v>
      </c>
      <c r="G51" t="s">
        <v>130</v>
      </c>
      <c r="H51">
        <v>223.42342330858401</v>
      </c>
      <c r="K51">
        <v>201902</v>
      </c>
      <c r="L51">
        <v>10792.5</v>
      </c>
    </row>
    <row r="52" spans="1:12" x14ac:dyDescent="0.3">
      <c r="A52">
        <v>201903</v>
      </c>
      <c r="B52">
        <v>11623.900390625</v>
      </c>
      <c r="C52">
        <v>223.42342330858401</v>
      </c>
      <c r="G52" t="s">
        <v>131</v>
      </c>
      <c r="H52">
        <v>-32.9410785830188</v>
      </c>
      <c r="K52">
        <v>201903</v>
      </c>
      <c r="L52">
        <v>11623.900390625</v>
      </c>
    </row>
    <row r="53" spans="1:12" x14ac:dyDescent="0.3">
      <c r="A53">
        <v>201904</v>
      </c>
      <c r="B53">
        <v>11748.150390625</v>
      </c>
      <c r="C53">
        <v>-32.9410785830188</v>
      </c>
      <c r="G53" t="s">
        <v>132</v>
      </c>
      <c r="H53">
        <v>323.81523809845402</v>
      </c>
      <c r="K53">
        <v>201904</v>
      </c>
      <c r="L53">
        <v>11748.150390625</v>
      </c>
    </row>
    <row r="54" spans="1:12" x14ac:dyDescent="0.3">
      <c r="A54">
        <v>201905</v>
      </c>
      <c r="B54">
        <v>11922.7998046875</v>
      </c>
      <c r="C54">
        <v>323.81523809845402</v>
      </c>
      <c r="G54" t="s">
        <v>133</v>
      </c>
      <c r="H54">
        <v>-127.654546950921</v>
      </c>
      <c r="K54">
        <v>201905</v>
      </c>
      <c r="L54">
        <v>11922.7998046875</v>
      </c>
    </row>
    <row r="55" spans="1:12" x14ac:dyDescent="0.3">
      <c r="A55">
        <v>201906</v>
      </c>
      <c r="B55">
        <v>11788.849609375</v>
      </c>
      <c r="C55">
        <v>-127.654546950921</v>
      </c>
      <c r="G55" t="s">
        <v>134</v>
      </c>
      <c r="H55">
        <v>163.291083007004</v>
      </c>
      <c r="K55">
        <v>201906</v>
      </c>
      <c r="L55">
        <v>11788.849609375</v>
      </c>
    </row>
    <row r="56" spans="1:12" x14ac:dyDescent="0.3">
      <c r="A56">
        <v>201907</v>
      </c>
      <c r="B56">
        <v>11118</v>
      </c>
      <c r="C56">
        <v>163.291083007004</v>
      </c>
      <c r="G56" t="s">
        <v>135</v>
      </c>
      <c r="H56">
        <v>422.35231806451401</v>
      </c>
      <c r="K56">
        <v>201907</v>
      </c>
      <c r="L56">
        <v>11118</v>
      </c>
    </row>
    <row r="57" spans="1:12" x14ac:dyDescent="0.3">
      <c r="A57">
        <v>201908</v>
      </c>
      <c r="B57">
        <v>11023.25</v>
      </c>
      <c r="C57">
        <v>422.35231806451401</v>
      </c>
      <c r="G57" t="s">
        <v>136</v>
      </c>
      <c r="H57">
        <v>238.16433097406201</v>
      </c>
      <c r="K57">
        <v>201908</v>
      </c>
      <c r="L57">
        <v>11023.25</v>
      </c>
    </row>
    <row r="58" spans="1:12" x14ac:dyDescent="0.3">
      <c r="A58">
        <v>201909</v>
      </c>
      <c r="B58">
        <v>11474.4501953125</v>
      </c>
      <c r="C58">
        <v>238.16433097406201</v>
      </c>
      <c r="G58" t="s">
        <v>137</v>
      </c>
      <c r="H58">
        <v>243.85689498955</v>
      </c>
      <c r="K58">
        <v>201909</v>
      </c>
      <c r="L58">
        <v>11474.4501953125</v>
      </c>
    </row>
    <row r="59" spans="1:12" x14ac:dyDescent="0.3">
      <c r="A59">
        <v>201910</v>
      </c>
      <c r="B59">
        <v>11877.4501953125</v>
      </c>
      <c r="C59">
        <v>243.85689498955</v>
      </c>
      <c r="G59" t="s">
        <v>138</v>
      </c>
      <c r="H59">
        <v>249.995394410823</v>
      </c>
      <c r="K59">
        <v>201910</v>
      </c>
      <c r="L59">
        <v>11877.4501953125</v>
      </c>
    </row>
    <row r="60" spans="1:12" x14ac:dyDescent="0.3">
      <c r="A60">
        <v>201911</v>
      </c>
      <c r="B60">
        <v>12056.0498046875</v>
      </c>
      <c r="C60">
        <v>249.995394410823</v>
      </c>
      <c r="G60" t="s">
        <v>139</v>
      </c>
      <c r="H60">
        <v>170.60079073529801</v>
      </c>
      <c r="K60">
        <v>201911</v>
      </c>
      <c r="L60">
        <v>12056.0498046875</v>
      </c>
    </row>
    <row r="61" spans="1:12" x14ac:dyDescent="0.3">
      <c r="A61">
        <v>201912</v>
      </c>
      <c r="B61">
        <v>12168.4501953125</v>
      </c>
      <c r="C61">
        <v>170.60079073529801</v>
      </c>
      <c r="G61" t="s">
        <v>140</v>
      </c>
      <c r="H61">
        <v>99.130279346616504</v>
      </c>
      <c r="K61">
        <v>201912</v>
      </c>
      <c r="L61">
        <v>12168.4501953125</v>
      </c>
    </row>
    <row r="62" spans="1:12" x14ac:dyDescent="0.3">
      <c r="A62">
        <v>202001</v>
      </c>
      <c r="B62">
        <v>11962.099609375</v>
      </c>
      <c r="C62">
        <v>99.130279346616504</v>
      </c>
      <c r="G62" t="s">
        <v>141</v>
      </c>
      <c r="H62">
        <v>311.71429871757999</v>
      </c>
      <c r="K62">
        <v>202001</v>
      </c>
      <c r="L62">
        <v>11962.099609375</v>
      </c>
    </row>
    <row r="63" spans="1:12" x14ac:dyDescent="0.3">
      <c r="A63">
        <v>202002</v>
      </c>
      <c r="B63">
        <v>11201.75</v>
      </c>
      <c r="C63">
        <v>311.71429871757999</v>
      </c>
      <c r="G63" t="s">
        <v>142</v>
      </c>
      <c r="H63">
        <v>-193.41666808820699</v>
      </c>
      <c r="K63">
        <v>202002</v>
      </c>
      <c r="L63">
        <v>11201.75</v>
      </c>
    </row>
    <row r="64" spans="1:12" x14ac:dyDescent="0.3">
      <c r="A64">
        <v>202003</v>
      </c>
      <c r="B64">
        <v>8597.75</v>
      </c>
      <c r="C64">
        <v>-193.41666808820699</v>
      </c>
      <c r="G64" t="s">
        <v>143</v>
      </c>
      <c r="H64">
        <v>696.73879783351595</v>
      </c>
      <c r="K64">
        <v>202003</v>
      </c>
      <c r="L64">
        <v>8597.75</v>
      </c>
    </row>
    <row r="65" spans="1:12" x14ac:dyDescent="0.3">
      <c r="A65">
        <v>202004</v>
      </c>
      <c r="B65">
        <v>9859.900390625</v>
      </c>
      <c r="C65">
        <v>696.73879783351595</v>
      </c>
      <c r="G65" t="s">
        <v>144</v>
      </c>
      <c r="H65">
        <v>125.610170062897</v>
      </c>
      <c r="K65">
        <v>202004</v>
      </c>
      <c r="L65">
        <v>9859.900390625</v>
      </c>
    </row>
    <row r="66" spans="1:12" x14ac:dyDescent="0.3">
      <c r="A66">
        <v>202005</v>
      </c>
      <c r="B66">
        <v>9580.2998046875</v>
      </c>
      <c r="C66">
        <v>125.610170062897</v>
      </c>
      <c r="G66" t="s">
        <v>145</v>
      </c>
      <c r="H66">
        <v>-263.28338754240599</v>
      </c>
      <c r="K66">
        <v>202005</v>
      </c>
      <c r="L66">
        <v>9580.2998046875</v>
      </c>
    </row>
    <row r="67" spans="1:12" x14ac:dyDescent="0.3">
      <c r="A67">
        <v>202006</v>
      </c>
      <c r="B67">
        <v>10302.099609375</v>
      </c>
      <c r="C67">
        <v>-263.28338754240599</v>
      </c>
      <c r="G67" t="s">
        <v>146</v>
      </c>
      <c r="H67">
        <v>474.89465614427502</v>
      </c>
      <c r="K67">
        <v>202006</v>
      </c>
      <c r="L67">
        <v>10302.099609375</v>
      </c>
    </row>
    <row r="68" spans="1:12" x14ac:dyDescent="0.3">
      <c r="A68">
        <v>202007</v>
      </c>
      <c r="B68">
        <v>11073.4501953125</v>
      </c>
      <c r="C68">
        <v>474.89465614427502</v>
      </c>
      <c r="G68" t="s">
        <v>147</v>
      </c>
      <c r="H68">
        <v>19.272309321132301</v>
      </c>
      <c r="K68">
        <v>202007</v>
      </c>
      <c r="L68">
        <v>11073.4501953125</v>
      </c>
    </row>
    <row r="69" spans="1:12" x14ac:dyDescent="0.3">
      <c r="A69">
        <v>202008</v>
      </c>
      <c r="B69">
        <v>11387.5</v>
      </c>
      <c r="C69">
        <v>19.272309321132301</v>
      </c>
      <c r="G69" t="s">
        <v>148</v>
      </c>
      <c r="H69">
        <v>-83.660751175793195</v>
      </c>
      <c r="K69">
        <v>202008</v>
      </c>
      <c r="L69">
        <v>11387.5</v>
      </c>
    </row>
    <row r="70" spans="1:12" x14ac:dyDescent="0.3">
      <c r="A70">
        <v>202009</v>
      </c>
      <c r="B70">
        <v>11247.5498046875</v>
      </c>
      <c r="C70">
        <v>-83.660751175793195</v>
      </c>
      <c r="G70" t="s">
        <v>149</v>
      </c>
      <c r="H70">
        <v>56.0465197215239</v>
      </c>
      <c r="K70">
        <v>202009</v>
      </c>
      <c r="L70">
        <v>11247.5498046875</v>
      </c>
    </row>
    <row r="71" spans="1:12" x14ac:dyDescent="0.3">
      <c r="A71">
        <v>202010</v>
      </c>
      <c r="B71">
        <v>11642.4</v>
      </c>
      <c r="C71">
        <v>56.0465197215239</v>
      </c>
      <c r="G71" t="s">
        <v>150</v>
      </c>
      <c r="H71">
        <v>897.18808634445202</v>
      </c>
      <c r="K71">
        <v>202010</v>
      </c>
      <c r="L71">
        <v>11642.4</v>
      </c>
    </row>
    <row r="72" spans="1:12" x14ac:dyDescent="0.3">
      <c r="A72">
        <v>202011</v>
      </c>
      <c r="B72">
        <v>12968.95</v>
      </c>
      <c r="C72">
        <v>897.18808634445202</v>
      </c>
      <c r="G72" t="s">
        <v>151</v>
      </c>
      <c r="H72">
        <v>683.50111813308195</v>
      </c>
      <c r="K72">
        <v>202011</v>
      </c>
      <c r="L72">
        <v>12968.95</v>
      </c>
    </row>
    <row r="73" spans="1:12" x14ac:dyDescent="0.3">
      <c r="A73">
        <v>202012</v>
      </c>
      <c r="B73">
        <v>13981.75</v>
      </c>
      <c r="C73">
        <v>683.50111813308195</v>
      </c>
      <c r="G73" t="s">
        <v>152</v>
      </c>
      <c r="H73">
        <v>159.260552470584</v>
      </c>
      <c r="K73">
        <v>202012</v>
      </c>
      <c r="L73">
        <v>13981.75</v>
      </c>
    </row>
    <row r="74" spans="1:12" x14ac:dyDescent="0.3">
      <c r="A74">
        <v>202101</v>
      </c>
      <c r="B74">
        <v>13634.6</v>
      </c>
      <c r="C74">
        <v>159.260552470584</v>
      </c>
      <c r="G74" t="s">
        <v>153</v>
      </c>
      <c r="H74">
        <v>390.63920476682301</v>
      </c>
      <c r="K74">
        <v>202101</v>
      </c>
      <c r="L74">
        <v>13634.6</v>
      </c>
    </row>
    <row r="75" spans="1:12" x14ac:dyDescent="0.3">
      <c r="A75">
        <v>202102</v>
      </c>
      <c r="B75">
        <v>14529.15</v>
      </c>
      <c r="C75">
        <v>390.63920476682301</v>
      </c>
      <c r="G75" t="s">
        <v>154</v>
      </c>
      <c r="H75">
        <v>12.043164783530401</v>
      </c>
      <c r="K75">
        <v>202102</v>
      </c>
      <c r="L75">
        <v>14529.15</v>
      </c>
    </row>
    <row r="76" spans="1:12" x14ac:dyDescent="0.3">
      <c r="A76">
        <v>202103</v>
      </c>
      <c r="B76">
        <v>14690.7</v>
      </c>
      <c r="C76">
        <v>12.043164783530401</v>
      </c>
      <c r="G76" t="s">
        <v>155</v>
      </c>
      <c r="H76">
        <v>152.20089477489799</v>
      </c>
      <c r="K76">
        <v>202103</v>
      </c>
      <c r="L76">
        <v>14690.7</v>
      </c>
    </row>
    <row r="77" spans="1:12" x14ac:dyDescent="0.3">
      <c r="A77">
        <v>202104</v>
      </c>
      <c r="B77">
        <v>14631.1</v>
      </c>
      <c r="C77">
        <v>152.20089477489799</v>
      </c>
      <c r="G77" t="s">
        <v>156</v>
      </c>
      <c r="H77">
        <v>220.23295780055901</v>
      </c>
      <c r="K77">
        <v>202104</v>
      </c>
      <c r="L77">
        <v>14631.1</v>
      </c>
    </row>
    <row r="78" spans="1:12" x14ac:dyDescent="0.3">
      <c r="A78">
        <v>202105</v>
      </c>
      <c r="B78">
        <v>15582.8</v>
      </c>
      <c r="C78">
        <v>220.23295780055901</v>
      </c>
      <c r="G78" t="s">
        <v>157</v>
      </c>
      <c r="H78">
        <v>365.27494737745599</v>
      </c>
      <c r="K78">
        <v>202105</v>
      </c>
      <c r="L78">
        <v>15582.8</v>
      </c>
    </row>
    <row r="79" spans="1:12" x14ac:dyDescent="0.3">
      <c r="A79">
        <v>202106</v>
      </c>
      <c r="B79">
        <v>15721.5</v>
      </c>
      <c r="C79">
        <v>365.27494737745599</v>
      </c>
      <c r="G79" t="s">
        <v>158</v>
      </c>
      <c r="H79">
        <v>172.03083604662001</v>
      </c>
      <c r="K79">
        <v>202106</v>
      </c>
      <c r="L79">
        <v>15721.5</v>
      </c>
    </row>
    <row r="80" spans="1:12" x14ac:dyDescent="0.3">
      <c r="A80">
        <v>202107</v>
      </c>
      <c r="B80">
        <v>15763.05</v>
      </c>
      <c r="C80">
        <v>172.03083604662001</v>
      </c>
      <c r="G80" t="s">
        <v>159</v>
      </c>
      <c r="H80">
        <v>437.43905328432299</v>
      </c>
      <c r="K80">
        <v>202107</v>
      </c>
      <c r="L80">
        <v>15763.05</v>
      </c>
    </row>
    <row r="81" spans="1:12" x14ac:dyDescent="0.3">
      <c r="A81">
        <v>202108</v>
      </c>
      <c r="B81">
        <v>17132.2</v>
      </c>
      <c r="C81">
        <v>437.43905328432299</v>
      </c>
      <c r="G81" t="s">
        <v>160</v>
      </c>
      <c r="H81">
        <v>246.19573570227601</v>
      </c>
      <c r="K81">
        <v>202108</v>
      </c>
      <c r="L81">
        <v>17132.2</v>
      </c>
    </row>
    <row r="82" spans="1:12" x14ac:dyDescent="0.3">
      <c r="A82">
        <v>202109</v>
      </c>
      <c r="B82">
        <v>17618.150000000001</v>
      </c>
      <c r="C82">
        <v>246.19573570227601</v>
      </c>
      <c r="G82" t="s">
        <v>161</v>
      </c>
      <c r="H82">
        <v>160.15950831658401</v>
      </c>
      <c r="K82">
        <v>202109</v>
      </c>
      <c r="L82">
        <v>17618.150000000001</v>
      </c>
    </row>
    <row r="83" spans="1:12" x14ac:dyDescent="0.3">
      <c r="A83">
        <v>202110</v>
      </c>
      <c r="B83">
        <v>17671.650000000001</v>
      </c>
      <c r="C83">
        <v>160.15950831658401</v>
      </c>
      <c r="G83" t="s">
        <v>162</v>
      </c>
      <c r="H83">
        <v>156.90522528575201</v>
      </c>
      <c r="K83">
        <v>202110</v>
      </c>
      <c r="L83">
        <v>17671.650000000001</v>
      </c>
    </row>
    <row r="84" spans="1:12" x14ac:dyDescent="0.3">
      <c r="A84">
        <v>202111</v>
      </c>
      <c r="B84">
        <v>16983.2</v>
      </c>
      <c r="C84">
        <v>156.90522528575201</v>
      </c>
      <c r="G84" t="s">
        <v>163</v>
      </c>
      <c r="H84">
        <v>222.95912725006099</v>
      </c>
      <c r="K84">
        <v>202111</v>
      </c>
      <c r="L84">
        <v>16983.2</v>
      </c>
    </row>
    <row r="85" spans="1:12" x14ac:dyDescent="0.3">
      <c r="A85">
        <v>202112</v>
      </c>
      <c r="B85">
        <v>17354.05</v>
      </c>
      <c r="C85">
        <v>222.95912725006099</v>
      </c>
      <c r="G85" t="s">
        <v>164</v>
      </c>
      <c r="H85">
        <v>266.65011717010901</v>
      </c>
      <c r="K85">
        <v>202112</v>
      </c>
      <c r="L85">
        <v>17354.05</v>
      </c>
    </row>
    <row r="86" spans="1:12" x14ac:dyDescent="0.3">
      <c r="A86">
        <v>202201</v>
      </c>
      <c r="B86">
        <v>17339.849999999999</v>
      </c>
      <c r="C86">
        <v>266.65011717010901</v>
      </c>
      <c r="G86" t="s">
        <v>165</v>
      </c>
      <c r="H86">
        <v>222.241381469624</v>
      </c>
      <c r="K86">
        <v>202201</v>
      </c>
      <c r="L86">
        <v>17339.849999999999</v>
      </c>
    </row>
    <row r="87" spans="1:12" x14ac:dyDescent="0.3">
      <c r="A87">
        <v>202202</v>
      </c>
      <c r="B87">
        <v>16793.900000000001</v>
      </c>
      <c r="C87">
        <v>222.241381469624</v>
      </c>
      <c r="G87" t="s">
        <v>166</v>
      </c>
      <c r="H87">
        <v>318.16200820658401</v>
      </c>
      <c r="K87">
        <v>202202</v>
      </c>
      <c r="L87">
        <v>16793.900000000001</v>
      </c>
    </row>
    <row r="88" spans="1:12" x14ac:dyDescent="0.3">
      <c r="A88">
        <v>202203</v>
      </c>
      <c r="B88">
        <v>17464.75</v>
      </c>
      <c r="C88">
        <v>318.16200820658401</v>
      </c>
      <c r="G88" t="s">
        <v>167</v>
      </c>
      <c r="H88">
        <v>209.760072136628</v>
      </c>
      <c r="K88">
        <v>202203</v>
      </c>
      <c r="L88">
        <v>17464.75</v>
      </c>
    </row>
    <row r="89" spans="1:12" x14ac:dyDescent="0.3">
      <c r="A89">
        <v>202204</v>
      </c>
      <c r="B89">
        <v>17102.55</v>
      </c>
      <c r="C89">
        <v>209.760072136628</v>
      </c>
      <c r="G89" t="s">
        <v>168</v>
      </c>
      <c r="H89">
        <v>480.063035808037</v>
      </c>
      <c r="K89">
        <v>202204</v>
      </c>
      <c r="L89">
        <v>17102.55</v>
      </c>
    </row>
    <row r="90" spans="1:12" x14ac:dyDescent="0.3">
      <c r="A90">
        <v>202205</v>
      </c>
      <c r="B90">
        <v>16584.55</v>
      </c>
      <c r="C90">
        <v>480.063035808037</v>
      </c>
      <c r="G90" t="s">
        <v>169</v>
      </c>
      <c r="H90">
        <v>-128.19131209077099</v>
      </c>
      <c r="K90">
        <v>202205</v>
      </c>
      <c r="L90">
        <v>16584.55</v>
      </c>
    </row>
    <row r="91" spans="1:12" x14ac:dyDescent="0.3">
      <c r="A91">
        <v>202206</v>
      </c>
      <c r="B91">
        <v>15780.25</v>
      </c>
      <c r="C91">
        <v>-128.19131209077099</v>
      </c>
      <c r="G91" t="s">
        <v>170</v>
      </c>
      <c r="H91">
        <v>222.51740398588001</v>
      </c>
      <c r="K91">
        <v>202206</v>
      </c>
      <c r="L91">
        <v>15780.25</v>
      </c>
    </row>
    <row r="92" spans="1:12" x14ac:dyDescent="0.3">
      <c r="A92">
        <v>202207</v>
      </c>
      <c r="B92">
        <v>17158.25</v>
      </c>
      <c r="C92">
        <v>222.51740398588001</v>
      </c>
      <c r="G92" t="s">
        <v>171</v>
      </c>
      <c r="H92">
        <v>507.27187755800799</v>
      </c>
      <c r="K92">
        <v>202207</v>
      </c>
      <c r="L92">
        <v>17158.25</v>
      </c>
    </row>
    <row r="93" spans="1:12" x14ac:dyDescent="0.3">
      <c r="A93">
        <v>202208</v>
      </c>
      <c r="B93">
        <v>17759.3</v>
      </c>
      <c r="C93">
        <v>507.27187755800799</v>
      </c>
      <c r="G93" t="s">
        <v>172</v>
      </c>
      <c r="H93">
        <v>59.4208083646433</v>
      </c>
      <c r="K93">
        <v>202208</v>
      </c>
      <c r="L93">
        <v>17759.3</v>
      </c>
    </row>
    <row r="94" spans="1:12" x14ac:dyDescent="0.3">
      <c r="A94">
        <v>202209</v>
      </c>
      <c r="B94">
        <v>17094.349999999999</v>
      </c>
      <c r="C94">
        <v>59.4208083646433</v>
      </c>
      <c r="G94" t="s">
        <v>173</v>
      </c>
      <c r="H94">
        <v>364.45187923232999</v>
      </c>
      <c r="K94">
        <v>202209</v>
      </c>
      <c r="L94">
        <v>17094.349999999999</v>
      </c>
    </row>
    <row r="95" spans="1:12" x14ac:dyDescent="0.3">
      <c r="A95">
        <v>202210</v>
      </c>
      <c r="B95">
        <v>18012.2</v>
      </c>
      <c r="C95">
        <v>364.45187923232999</v>
      </c>
      <c r="G95" t="s">
        <v>174</v>
      </c>
      <c r="H95">
        <v>405.98242408018001</v>
      </c>
      <c r="K95">
        <v>202210</v>
      </c>
      <c r="L95">
        <v>18012.2</v>
      </c>
    </row>
    <row r="96" spans="1:12" x14ac:dyDescent="0.3">
      <c r="A96">
        <v>202211</v>
      </c>
      <c r="B96">
        <v>18758.349999999999</v>
      </c>
      <c r="C96">
        <v>405.98242408018001</v>
      </c>
      <c r="G96" t="s">
        <v>175</v>
      </c>
      <c r="H96">
        <v>318.281270319692</v>
      </c>
      <c r="K96">
        <v>202211</v>
      </c>
      <c r="L96">
        <v>18758.349999999999</v>
      </c>
    </row>
    <row r="97" spans="1:12" x14ac:dyDescent="0.3">
      <c r="A97">
        <v>202212</v>
      </c>
      <c r="B97">
        <v>18105.3</v>
      </c>
      <c r="C97">
        <v>318.281270319692</v>
      </c>
      <c r="G97" t="s">
        <v>176</v>
      </c>
      <c r="H97">
        <v>-177.64740504487199</v>
      </c>
      <c r="K97">
        <v>202212</v>
      </c>
      <c r="L97">
        <v>18105.3</v>
      </c>
    </row>
    <row r="98" spans="1:12" x14ac:dyDescent="0.3">
      <c r="A98">
        <v>202301</v>
      </c>
      <c r="B98">
        <v>17662.150000000001</v>
      </c>
      <c r="C98">
        <v>-177.64740504487199</v>
      </c>
      <c r="G98" t="s">
        <v>177</v>
      </c>
      <c r="H98">
        <v>-32.685125321257402</v>
      </c>
      <c r="K98">
        <v>202301</v>
      </c>
      <c r="L98">
        <v>17662.150000000001</v>
      </c>
    </row>
    <row r="99" spans="1:12" x14ac:dyDescent="0.3">
      <c r="A99">
        <v>202302</v>
      </c>
      <c r="B99">
        <v>17303.95</v>
      </c>
      <c r="C99">
        <v>-32.685125321257402</v>
      </c>
      <c r="G99" t="s">
        <v>178</v>
      </c>
      <c r="H99">
        <v>233.234461049332</v>
      </c>
      <c r="K99">
        <v>202302</v>
      </c>
      <c r="L99">
        <v>17303.95</v>
      </c>
    </row>
    <row r="100" spans="1:12" x14ac:dyDescent="0.3">
      <c r="A100">
        <v>202303</v>
      </c>
      <c r="B100">
        <v>17359.75</v>
      </c>
      <c r="C100">
        <v>233.234461049332</v>
      </c>
      <c r="G100" t="s">
        <v>179</v>
      </c>
      <c r="H100">
        <v>124.858659852399</v>
      </c>
      <c r="K100">
        <v>202303</v>
      </c>
      <c r="L100">
        <v>17359.75</v>
      </c>
    </row>
    <row r="101" spans="1:12" x14ac:dyDescent="0.3">
      <c r="A101">
        <v>202304</v>
      </c>
      <c r="B101">
        <v>18065</v>
      </c>
      <c r="C101">
        <v>124.858659852399</v>
      </c>
      <c r="G101" t="s">
        <v>180</v>
      </c>
      <c r="H101">
        <v>350.59294211371798</v>
      </c>
      <c r="K101">
        <v>202304</v>
      </c>
      <c r="L101">
        <v>18065</v>
      </c>
    </row>
    <row r="102" spans="1:12" x14ac:dyDescent="0.3">
      <c r="A102">
        <v>202305</v>
      </c>
      <c r="B102">
        <v>18534.400000000001</v>
      </c>
      <c r="C102">
        <v>350.59294211371798</v>
      </c>
      <c r="G102" t="s">
        <v>181</v>
      </c>
      <c r="H102">
        <v>271.28430577824201</v>
      </c>
      <c r="K102">
        <v>202305</v>
      </c>
      <c r="L102">
        <v>18534.400000000001</v>
      </c>
    </row>
    <row r="103" spans="1:12" x14ac:dyDescent="0.3">
      <c r="A103">
        <v>202306</v>
      </c>
      <c r="B103">
        <v>19189.05</v>
      </c>
      <c r="C103">
        <v>271.28430577824201</v>
      </c>
      <c r="G103" t="s">
        <v>182</v>
      </c>
      <c r="H103">
        <v>224.58266848327901</v>
      </c>
      <c r="K103">
        <v>202306</v>
      </c>
      <c r="L103">
        <v>19189.05</v>
      </c>
    </row>
    <row r="104" spans="1:12" x14ac:dyDescent="0.3">
      <c r="A104">
        <v>202307</v>
      </c>
      <c r="B104">
        <v>19753.8</v>
      </c>
      <c r="C104">
        <v>224.58266848327901</v>
      </c>
      <c r="G104" t="s">
        <v>183</v>
      </c>
      <c r="H104">
        <v>136.80095601908201</v>
      </c>
      <c r="K104">
        <v>202307</v>
      </c>
      <c r="L104">
        <v>19753.8</v>
      </c>
    </row>
    <row r="105" spans="1:12" x14ac:dyDescent="0.3">
      <c r="A105">
        <v>202308</v>
      </c>
      <c r="B105">
        <v>19253.8</v>
      </c>
      <c r="C105">
        <v>136.80095601908201</v>
      </c>
      <c r="G105" t="s">
        <v>184</v>
      </c>
      <c r="H105">
        <v>252.08083433766899</v>
      </c>
      <c r="K105">
        <v>202308</v>
      </c>
      <c r="L105">
        <v>19253.8</v>
      </c>
    </row>
    <row r="106" spans="1:12" x14ac:dyDescent="0.3">
      <c r="A106">
        <v>202309</v>
      </c>
      <c r="B106">
        <v>19638.3</v>
      </c>
      <c r="C106">
        <v>252.08083433766899</v>
      </c>
      <c r="G106" t="s">
        <v>185</v>
      </c>
      <c r="H106">
        <v>89.513832805978097</v>
      </c>
      <c r="K106">
        <v>202309</v>
      </c>
      <c r="L106">
        <v>19638.3</v>
      </c>
    </row>
    <row r="107" spans="1:12" x14ac:dyDescent="0.3">
      <c r="A107">
        <v>202310</v>
      </c>
      <c r="B107">
        <v>19079.599999999999</v>
      </c>
      <c r="C107">
        <v>89.513832805978097</v>
      </c>
      <c r="G107" t="s">
        <v>186</v>
      </c>
      <c r="H107">
        <v>211.41977320749299</v>
      </c>
      <c r="K107">
        <v>202310</v>
      </c>
      <c r="L107">
        <v>19079.599999999999</v>
      </c>
    </row>
    <row r="108" spans="1:12" x14ac:dyDescent="0.3">
      <c r="A108">
        <v>202311</v>
      </c>
      <c r="B108">
        <v>20133.150000000001</v>
      </c>
      <c r="C108">
        <v>211.41977320749299</v>
      </c>
      <c r="G108" t="s">
        <v>187</v>
      </c>
      <c r="H108">
        <v>227.551978765098</v>
      </c>
      <c r="K108">
        <v>202311</v>
      </c>
      <c r="L108">
        <v>20133.150000000001</v>
      </c>
    </row>
    <row r="109" spans="1:12" x14ac:dyDescent="0.3">
      <c r="A109">
        <v>202312</v>
      </c>
      <c r="B109">
        <v>21731.4</v>
      </c>
      <c r="C109">
        <v>227.551978765098</v>
      </c>
      <c r="G109" t="s">
        <v>188</v>
      </c>
      <c r="H109">
        <v>303.19788872267901</v>
      </c>
      <c r="K109">
        <v>202312</v>
      </c>
      <c r="L109">
        <v>21731.4</v>
      </c>
    </row>
    <row r="110" spans="1:12" x14ac:dyDescent="0.3">
      <c r="A110">
        <v>202401</v>
      </c>
      <c r="B110">
        <v>21725.7</v>
      </c>
      <c r="C110">
        <v>303.19788872267901</v>
      </c>
      <c r="G110" t="s">
        <v>189</v>
      </c>
      <c r="H110">
        <v>223.08596971822001</v>
      </c>
      <c r="K110">
        <v>202401</v>
      </c>
      <c r="L110">
        <v>21725.7</v>
      </c>
    </row>
    <row r="111" spans="1:12" x14ac:dyDescent="0.3">
      <c r="A111">
        <v>202402</v>
      </c>
      <c r="B111">
        <v>21982.799999999999</v>
      </c>
      <c r="C111">
        <v>223.08596971822001</v>
      </c>
      <c r="G111" t="s">
        <v>190</v>
      </c>
      <c r="H111">
        <v>163.692934058302</v>
      </c>
      <c r="K111">
        <v>202402</v>
      </c>
      <c r="L111">
        <v>21982.799999999999</v>
      </c>
    </row>
    <row r="112" spans="1:12" x14ac:dyDescent="0.3">
      <c r="A112">
        <v>202403</v>
      </c>
      <c r="B112">
        <v>22326.9</v>
      </c>
      <c r="C112">
        <v>163.692934058302</v>
      </c>
      <c r="G112" t="s">
        <v>191</v>
      </c>
      <c r="H112">
        <v>243.28151316028999</v>
      </c>
      <c r="K112">
        <v>202403</v>
      </c>
      <c r="L112">
        <v>22326.9</v>
      </c>
    </row>
    <row r="113" spans="1:12" x14ac:dyDescent="0.3">
      <c r="A113">
        <v>202404</v>
      </c>
      <c r="B113">
        <v>22604.85</v>
      </c>
      <c r="C113">
        <v>243.28151316028999</v>
      </c>
      <c r="G113" t="s">
        <v>192</v>
      </c>
      <c r="H113">
        <v>151.72704548581299</v>
      </c>
      <c r="K113">
        <v>202404</v>
      </c>
      <c r="L113">
        <v>22604.85</v>
      </c>
    </row>
    <row r="114" spans="1:12" x14ac:dyDescent="0.3">
      <c r="A114">
        <v>202405</v>
      </c>
      <c r="B114">
        <v>22530.7</v>
      </c>
      <c r="C114">
        <v>151.72704548581299</v>
      </c>
      <c r="G114" t="s">
        <v>193</v>
      </c>
      <c r="H114">
        <v>208.33332921750801</v>
      </c>
      <c r="K114">
        <v>202405</v>
      </c>
      <c r="L114">
        <v>22530.7</v>
      </c>
    </row>
    <row r="115" spans="1:12" x14ac:dyDescent="0.3">
      <c r="A115">
        <v>202406</v>
      </c>
      <c r="B115">
        <v>24010.6</v>
      </c>
      <c r="C115">
        <v>208.33332921750801</v>
      </c>
      <c r="G115" t="s">
        <v>194</v>
      </c>
      <c r="H115">
        <v>65.260395672270306</v>
      </c>
      <c r="K115">
        <v>202406</v>
      </c>
      <c r="L115">
        <v>24010.6</v>
      </c>
    </row>
    <row r="116" spans="1:12" x14ac:dyDescent="0.3">
      <c r="A116">
        <v>202407</v>
      </c>
      <c r="B116">
        <v>24951.15</v>
      </c>
      <c r="C116">
        <v>65.260395672270306</v>
      </c>
      <c r="G116" t="s">
        <v>195</v>
      </c>
      <c r="H116">
        <v>471.32382073374498</v>
      </c>
      <c r="K116">
        <v>202407</v>
      </c>
      <c r="L116">
        <v>24951.15</v>
      </c>
    </row>
    <row r="117" spans="1:12" x14ac:dyDescent="0.3">
      <c r="A117">
        <v>202408</v>
      </c>
      <c r="B117">
        <v>25235.9</v>
      </c>
      <c r="C117">
        <v>471.32382073374498</v>
      </c>
      <c r="G117" t="s">
        <v>196</v>
      </c>
      <c r="H117">
        <v>254.29912411392101</v>
      </c>
      <c r="K117">
        <v>202408</v>
      </c>
      <c r="L117">
        <v>25235.9</v>
      </c>
    </row>
    <row r="118" spans="1:12" x14ac:dyDescent="0.3">
      <c r="A118">
        <v>202409</v>
      </c>
      <c r="B118">
        <v>25810.85</v>
      </c>
      <c r="C118">
        <v>254.29912411392101</v>
      </c>
      <c r="G118" t="s">
        <v>197</v>
      </c>
      <c r="H118">
        <v>60.105693260929698</v>
      </c>
      <c r="K118">
        <v>202409</v>
      </c>
      <c r="L118">
        <v>25810.85</v>
      </c>
    </row>
    <row r="119" spans="1:12" x14ac:dyDescent="0.3">
      <c r="A119">
        <v>202410</v>
      </c>
      <c r="B119">
        <v>24205.35</v>
      </c>
      <c r="C119">
        <v>60.105693260929698</v>
      </c>
      <c r="G119" t="s">
        <v>198</v>
      </c>
      <c r="H119">
        <v>327.93351922155802</v>
      </c>
      <c r="K119">
        <v>202410</v>
      </c>
      <c r="L119">
        <v>24205.35</v>
      </c>
    </row>
    <row r="120" spans="1:12" x14ac:dyDescent="0.3">
      <c r="A120">
        <v>202411</v>
      </c>
      <c r="B120">
        <v>24131.1</v>
      </c>
      <c r="C120">
        <v>327.93351922155802</v>
      </c>
      <c r="G120" t="s">
        <v>199</v>
      </c>
      <c r="H120">
        <v>127.084806932864</v>
      </c>
      <c r="K120">
        <v>202411</v>
      </c>
      <c r="L120">
        <v>24131.1</v>
      </c>
    </row>
    <row r="121" spans="1:12" x14ac:dyDescent="0.3">
      <c r="A121">
        <v>202412</v>
      </c>
      <c r="B121">
        <v>23644.799999999999</v>
      </c>
      <c r="C121">
        <v>127.084806932864</v>
      </c>
      <c r="G121" t="s">
        <v>200</v>
      </c>
      <c r="H121">
        <v>113.08961286030799</v>
      </c>
      <c r="K121">
        <v>202412</v>
      </c>
      <c r="L121">
        <v>23644.799999999999</v>
      </c>
    </row>
    <row r="122" spans="1:12" x14ac:dyDescent="0.3">
      <c r="A122">
        <v>202501</v>
      </c>
      <c r="B122">
        <v>23508.400000000001</v>
      </c>
      <c r="C122">
        <v>113.08961286030799</v>
      </c>
      <c r="G122" t="s">
        <v>201</v>
      </c>
      <c r="H122">
        <v>168.62858975505301</v>
      </c>
      <c r="K122">
        <v>202501</v>
      </c>
      <c r="L122">
        <v>23508.400000000001</v>
      </c>
    </row>
    <row r="123" spans="1:12" x14ac:dyDescent="0.3">
      <c r="A123">
        <v>202502</v>
      </c>
      <c r="B123">
        <v>22124.7</v>
      </c>
      <c r="C123">
        <v>168.62858975505301</v>
      </c>
      <c r="G123" t="s">
        <v>202</v>
      </c>
      <c r="H123">
        <v>461.29815568578198</v>
      </c>
      <c r="K123">
        <v>202502</v>
      </c>
      <c r="L123">
        <v>22124.7</v>
      </c>
    </row>
    <row r="124" spans="1:12" x14ac:dyDescent="0.3">
      <c r="A124">
        <v>202503</v>
      </c>
      <c r="B124">
        <v>23519.35</v>
      </c>
      <c r="C124">
        <v>461.29815568578198</v>
      </c>
      <c r="G124" t="s">
        <v>203</v>
      </c>
      <c r="H124">
        <v>364.87638656022699</v>
      </c>
      <c r="K124">
        <v>202503</v>
      </c>
      <c r="L124">
        <v>23519.35</v>
      </c>
    </row>
    <row r="125" spans="1:12" x14ac:dyDescent="0.3">
      <c r="A125">
        <v>202504</v>
      </c>
      <c r="B125">
        <v>24334.2</v>
      </c>
      <c r="C125">
        <v>364.87638656022699</v>
      </c>
      <c r="G125" t="s">
        <v>204</v>
      </c>
      <c r="H125">
        <v>233.379103005974</v>
      </c>
      <c r="K125">
        <v>202504</v>
      </c>
      <c r="L125">
        <v>24334.2</v>
      </c>
    </row>
    <row r="126" spans="1:12" x14ac:dyDescent="0.3">
      <c r="A126">
        <v>202505</v>
      </c>
      <c r="B126">
        <v>24750.7</v>
      </c>
      <c r="C126">
        <v>233.379103005974</v>
      </c>
      <c r="G126" t="s">
        <v>205</v>
      </c>
      <c r="H126">
        <v>280.21913317675899</v>
      </c>
      <c r="K126">
        <v>202505</v>
      </c>
      <c r="L126">
        <v>24750.7</v>
      </c>
    </row>
    <row r="127" spans="1:12" x14ac:dyDescent="0.3">
      <c r="A127">
        <v>202506</v>
      </c>
      <c r="B127">
        <v>25517.05</v>
      </c>
      <c r="C127">
        <v>280.21913317675899</v>
      </c>
      <c r="G127" t="s">
        <v>206</v>
      </c>
      <c r="H127">
        <v>149.89367474466999</v>
      </c>
      <c r="K127">
        <v>202506</v>
      </c>
      <c r="L127">
        <v>25517.05</v>
      </c>
    </row>
    <row r="128" spans="1:12" x14ac:dyDescent="0.3">
      <c r="A128">
        <v>202507</v>
      </c>
      <c r="B128">
        <v>24768.35</v>
      </c>
      <c r="C128">
        <v>149.89367474466999</v>
      </c>
      <c r="G128" t="s">
        <v>207</v>
      </c>
      <c r="H128">
        <v>185.81649852724101</v>
      </c>
      <c r="K128">
        <v>202507</v>
      </c>
      <c r="L128">
        <v>24768.35</v>
      </c>
    </row>
    <row r="129" spans="1:13" x14ac:dyDescent="0.3">
      <c r="A129">
        <v>202508</v>
      </c>
      <c r="C129">
        <v>185.81649852724101</v>
      </c>
      <c r="D129">
        <f>B128+C129</f>
        <v>24954.16649852724</v>
      </c>
      <c r="G129" t="s">
        <v>208</v>
      </c>
      <c r="H129">
        <v>222.09373083973099</v>
      </c>
      <c r="K129">
        <v>202508</v>
      </c>
      <c r="M129">
        <v>24954.16649852724</v>
      </c>
    </row>
    <row r="130" spans="1:13" x14ac:dyDescent="0.3">
      <c r="A130">
        <v>202509</v>
      </c>
      <c r="C130">
        <v>222.09373083973099</v>
      </c>
      <c r="D130">
        <f>D129+C130</f>
        <v>25176.26022936697</v>
      </c>
      <c r="G130" t="s">
        <v>209</v>
      </c>
      <c r="H130">
        <v>279.218278711457</v>
      </c>
      <c r="K130">
        <v>202509</v>
      </c>
      <c r="M130">
        <v>25176.26022936697</v>
      </c>
    </row>
    <row r="131" spans="1:13" x14ac:dyDescent="0.3">
      <c r="A131">
        <v>202510</v>
      </c>
      <c r="C131">
        <v>279.218278711457</v>
      </c>
      <c r="D131">
        <f t="shared" ref="D131:D145" si="0">D130+C131</f>
        <v>25455.478508078428</v>
      </c>
      <c r="G131" t="s">
        <v>210</v>
      </c>
      <c r="H131">
        <v>204.006171010098</v>
      </c>
      <c r="K131">
        <v>202510</v>
      </c>
      <c r="M131">
        <v>25455.478508078428</v>
      </c>
    </row>
    <row r="132" spans="1:13" x14ac:dyDescent="0.3">
      <c r="A132">
        <v>202511</v>
      </c>
      <c r="C132">
        <v>-204.006</v>
      </c>
      <c r="D132">
        <f t="shared" si="0"/>
        <v>25251.472508078426</v>
      </c>
      <c r="G132" t="s">
        <v>211</v>
      </c>
      <c r="H132">
        <v>307.56077206325</v>
      </c>
      <c r="K132">
        <v>202511</v>
      </c>
      <c r="M132">
        <v>25251.472508078426</v>
      </c>
    </row>
    <row r="133" spans="1:13" x14ac:dyDescent="0.3">
      <c r="A133">
        <v>202512</v>
      </c>
      <c r="C133">
        <v>307.56077206325</v>
      </c>
      <c r="D133">
        <f t="shared" si="0"/>
        <v>25559.033280141677</v>
      </c>
      <c r="G133" t="s">
        <v>212</v>
      </c>
      <c r="H133">
        <v>231.36890666115701</v>
      </c>
      <c r="K133">
        <v>202512</v>
      </c>
      <c r="M133">
        <v>25559.033280141677</v>
      </c>
    </row>
    <row r="134" spans="1:13" x14ac:dyDescent="0.3">
      <c r="A134">
        <v>202601</v>
      </c>
      <c r="C134">
        <v>231.36890666115701</v>
      </c>
      <c r="D134">
        <f t="shared" si="0"/>
        <v>25790.402186802836</v>
      </c>
      <c r="G134" t="s">
        <v>213</v>
      </c>
      <c r="H134">
        <v>239.55306053943499</v>
      </c>
      <c r="K134">
        <v>202601</v>
      </c>
      <c r="M134">
        <v>25790.402186802836</v>
      </c>
    </row>
    <row r="135" spans="1:13" x14ac:dyDescent="0.3">
      <c r="A135">
        <v>202602</v>
      </c>
      <c r="C135">
        <v>-239.255</v>
      </c>
      <c r="D135">
        <f t="shared" si="0"/>
        <v>25551.147186802835</v>
      </c>
      <c r="G135" t="s">
        <v>214</v>
      </c>
      <c r="H135">
        <v>147.27065269748201</v>
      </c>
      <c r="K135">
        <v>202602</v>
      </c>
      <c r="M135">
        <v>25551.147186802835</v>
      </c>
    </row>
    <row r="136" spans="1:13" x14ac:dyDescent="0.3">
      <c r="A136">
        <v>202603</v>
      </c>
      <c r="C136">
        <v>147.27065269748201</v>
      </c>
      <c r="D136">
        <f t="shared" si="0"/>
        <v>25698.417839500318</v>
      </c>
      <c r="G136" t="s">
        <v>215</v>
      </c>
      <c r="H136">
        <v>219.15798171668601</v>
      </c>
      <c r="K136">
        <v>202603</v>
      </c>
      <c r="M136">
        <v>25698.417839500318</v>
      </c>
    </row>
    <row r="137" spans="1:13" x14ac:dyDescent="0.3">
      <c r="A137">
        <v>202604</v>
      </c>
      <c r="C137">
        <v>219.15798171668601</v>
      </c>
      <c r="D137">
        <f t="shared" si="0"/>
        <v>25917.575821217004</v>
      </c>
      <c r="G137" t="s">
        <v>216</v>
      </c>
      <c r="H137">
        <v>276.493149561633</v>
      </c>
      <c r="K137">
        <v>202604</v>
      </c>
      <c r="M137">
        <v>25917.575821217004</v>
      </c>
    </row>
    <row r="138" spans="1:13" x14ac:dyDescent="0.3">
      <c r="A138">
        <v>202605</v>
      </c>
      <c r="C138">
        <v>276.493149561633</v>
      </c>
      <c r="D138">
        <f t="shared" si="0"/>
        <v>26194.068970778637</v>
      </c>
      <c r="G138" t="s">
        <v>217</v>
      </c>
      <c r="H138">
        <v>198.73983539674401</v>
      </c>
      <c r="K138">
        <v>202605</v>
      </c>
      <c r="M138">
        <v>26194.068970778637</v>
      </c>
    </row>
    <row r="139" spans="1:13" x14ac:dyDescent="0.3">
      <c r="A139">
        <v>202606</v>
      </c>
      <c r="C139">
        <v>198.73983539674401</v>
      </c>
      <c r="D139">
        <f t="shared" si="0"/>
        <v>26392.808806175381</v>
      </c>
      <c r="G139" t="s">
        <v>218</v>
      </c>
      <c r="H139">
        <v>275.17167485458799</v>
      </c>
      <c r="K139">
        <v>202606</v>
      </c>
      <c r="M139">
        <v>26392.808806175381</v>
      </c>
    </row>
    <row r="140" spans="1:13" x14ac:dyDescent="0.3">
      <c r="A140">
        <v>202607</v>
      </c>
      <c r="C140">
        <v>275.17167485458799</v>
      </c>
      <c r="D140">
        <f t="shared" si="0"/>
        <v>26667.980481029968</v>
      </c>
      <c r="G140" t="s">
        <v>219</v>
      </c>
      <c r="H140">
        <v>244.679335969432</v>
      </c>
      <c r="K140">
        <v>202607</v>
      </c>
      <c r="M140">
        <v>26667.980481029968</v>
      </c>
    </row>
    <row r="141" spans="1:13" x14ac:dyDescent="0.3">
      <c r="A141">
        <v>202608</v>
      </c>
      <c r="C141">
        <v>244.679335969432</v>
      </c>
      <c r="D141">
        <f t="shared" si="0"/>
        <v>26912.659816999399</v>
      </c>
      <c r="G141" t="s">
        <v>220</v>
      </c>
      <c r="H141">
        <v>319.30241958624703</v>
      </c>
      <c r="K141">
        <v>202608</v>
      </c>
      <c r="M141">
        <v>26912.659816999399</v>
      </c>
    </row>
    <row r="142" spans="1:13" x14ac:dyDescent="0.3">
      <c r="A142">
        <v>202609</v>
      </c>
      <c r="C142">
        <v>-309.02300000000002</v>
      </c>
      <c r="D142">
        <f t="shared" si="0"/>
        <v>26603.636816999398</v>
      </c>
      <c r="G142" t="s">
        <v>221</v>
      </c>
      <c r="H142">
        <v>52.8788719600131</v>
      </c>
      <c r="K142">
        <v>202609</v>
      </c>
      <c r="M142">
        <v>26603.636816999398</v>
      </c>
    </row>
    <row r="143" spans="1:13" x14ac:dyDescent="0.3">
      <c r="A143">
        <v>202610</v>
      </c>
      <c r="C143">
        <v>52.8788719600131</v>
      </c>
      <c r="D143">
        <f t="shared" si="0"/>
        <v>26656.515688959411</v>
      </c>
      <c r="G143" t="s">
        <v>222</v>
      </c>
      <c r="H143">
        <v>187.992430878091</v>
      </c>
      <c r="K143">
        <v>202610</v>
      </c>
      <c r="M143">
        <v>26656.515688959411</v>
      </c>
    </row>
    <row r="144" spans="1:13" x14ac:dyDescent="0.3">
      <c r="A144">
        <v>202611</v>
      </c>
      <c r="C144">
        <v>187.992430878091</v>
      </c>
      <c r="D144">
        <f t="shared" si="0"/>
        <v>26844.508119837501</v>
      </c>
      <c r="G144" t="s">
        <v>223</v>
      </c>
      <c r="H144">
        <v>314.37801029573097</v>
      </c>
      <c r="K144">
        <v>202611</v>
      </c>
      <c r="M144">
        <v>26844.508119837501</v>
      </c>
    </row>
    <row r="145" spans="1:13" x14ac:dyDescent="0.3">
      <c r="A145">
        <v>202612</v>
      </c>
      <c r="C145">
        <v>314.37801029573097</v>
      </c>
      <c r="D145">
        <f t="shared" si="0"/>
        <v>27158.886130133233</v>
      </c>
      <c r="K145">
        <v>202612</v>
      </c>
      <c r="M145">
        <v>27158.886130133233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1FDA-004E-46E3-A35E-B51203839580}">
  <dimension ref="A1:T39"/>
  <sheetViews>
    <sheetView topLeftCell="R13" zoomScale="82" zoomScaleNormal="85" workbookViewId="0">
      <selection activeCell="AO45" sqref="AO45"/>
    </sheetView>
  </sheetViews>
  <sheetFormatPr defaultRowHeight="14.4" x14ac:dyDescent="0.3"/>
  <cols>
    <col min="2" max="2" width="8.88671875" customWidth="1"/>
  </cols>
  <sheetData>
    <row r="1" spans="1:5" x14ac:dyDescent="0.3">
      <c r="A1" s="2" t="s">
        <v>225</v>
      </c>
    </row>
    <row r="2" spans="1:5" x14ac:dyDescent="0.3">
      <c r="A2" s="2" t="s">
        <v>226</v>
      </c>
    </row>
    <row r="4" spans="1:5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</row>
    <row r="6" spans="1:5" x14ac:dyDescent="0.3">
      <c r="A6" t="s">
        <v>58</v>
      </c>
      <c r="B6">
        <v>-3.0809E-2</v>
      </c>
      <c r="C6">
        <v>0.32115700000000003</v>
      </c>
      <c r="D6">
        <v>-9.5932000000000003E-2</v>
      </c>
      <c r="E6">
        <v>0.92359999999999998</v>
      </c>
    </row>
    <row r="7" spans="1:5" x14ac:dyDescent="0.3">
      <c r="A7" t="s">
        <v>38</v>
      </c>
      <c r="B7">
        <v>180.87569999999999</v>
      </c>
      <c r="C7">
        <v>216.23660000000001</v>
      </c>
      <c r="D7">
        <v>0.83647099999999996</v>
      </c>
      <c r="E7">
        <v>0.40289999999999998</v>
      </c>
    </row>
    <row r="8" spans="1:5" x14ac:dyDescent="0.3">
      <c r="A8" t="s">
        <v>69</v>
      </c>
      <c r="B8">
        <v>0.40535399999999999</v>
      </c>
      <c r="C8">
        <v>8.9657000000000001E-2</v>
      </c>
      <c r="D8">
        <v>4.5211610000000002</v>
      </c>
      <c r="E8">
        <v>0</v>
      </c>
    </row>
    <row r="9" spans="1:5" x14ac:dyDescent="0.3">
      <c r="A9" t="s">
        <v>67</v>
      </c>
      <c r="B9">
        <v>-0.27307300000000001</v>
      </c>
      <c r="C9">
        <v>9.5325999999999994E-2</v>
      </c>
      <c r="D9">
        <v>-2.864614</v>
      </c>
      <c r="E9">
        <v>4.1999999999999997E-3</v>
      </c>
    </row>
    <row r="10" spans="1:5" x14ac:dyDescent="0.3">
      <c r="A10" t="s">
        <v>70</v>
      </c>
      <c r="B10">
        <v>-0.83580299999999996</v>
      </c>
      <c r="C10">
        <v>3.4312000000000002E-2</v>
      </c>
      <c r="D10">
        <v>-24.358889999999999</v>
      </c>
      <c r="E10">
        <v>0</v>
      </c>
    </row>
    <row r="11" spans="1:5" x14ac:dyDescent="0.3">
      <c r="A11" t="s">
        <v>68</v>
      </c>
      <c r="B11">
        <v>-7.7785000000000007E-2</v>
      </c>
      <c r="C11">
        <v>4.8802999999999999E-2</v>
      </c>
      <c r="D11">
        <v>-1.593866</v>
      </c>
      <c r="E11">
        <v>0.111</v>
      </c>
    </row>
    <row r="13" spans="1:5" x14ac:dyDescent="0.3">
      <c r="B13" t="s">
        <v>41</v>
      </c>
    </row>
    <row r="15" spans="1:5" x14ac:dyDescent="0.3">
      <c r="A15" t="s">
        <v>227</v>
      </c>
      <c r="B15">
        <v>12.34234</v>
      </c>
      <c r="C15">
        <v>5.5487840000000004</v>
      </c>
      <c r="D15">
        <v>2.224332</v>
      </c>
      <c r="E15">
        <v>2.6100000000000002E-2</v>
      </c>
    </row>
    <row r="16" spans="1:5" x14ac:dyDescent="0.3">
      <c r="A16" t="s">
        <v>228</v>
      </c>
      <c r="B16">
        <v>0.689361</v>
      </c>
      <c r="C16">
        <v>0.32328000000000001</v>
      </c>
      <c r="D16">
        <v>2.1323940000000001</v>
      </c>
      <c r="E16">
        <v>3.3000000000000002E-2</v>
      </c>
    </row>
    <row r="17" spans="1:20" x14ac:dyDescent="0.3">
      <c r="A17" t="s">
        <v>229</v>
      </c>
      <c r="B17">
        <v>-0.117384</v>
      </c>
      <c r="C17">
        <v>0.19716</v>
      </c>
      <c r="D17">
        <v>-0.59537200000000001</v>
      </c>
      <c r="E17">
        <v>0.55159999999999998</v>
      </c>
    </row>
    <row r="18" spans="1:20" x14ac:dyDescent="0.3">
      <c r="A18" t="s">
        <v>230</v>
      </c>
      <c r="B18">
        <v>-2.6384999999999999E-2</v>
      </c>
      <c r="C18">
        <v>0.437946</v>
      </c>
      <c r="D18">
        <v>-6.0247000000000002E-2</v>
      </c>
      <c r="E18">
        <v>0.95199999999999996</v>
      </c>
    </row>
    <row r="20" spans="1:20" x14ac:dyDescent="0.3">
      <c r="A20" t="s">
        <v>44</v>
      </c>
      <c r="B20">
        <v>0.30756099999999997</v>
      </c>
      <c r="C20" t="s">
        <v>45</v>
      </c>
      <c r="E20">
        <v>155.946</v>
      </c>
    </row>
    <row r="21" spans="1:20" x14ac:dyDescent="0.3">
      <c r="A21" t="s">
        <v>46</v>
      </c>
      <c r="B21">
        <v>0.270729</v>
      </c>
      <c r="C21" t="s">
        <v>47</v>
      </c>
      <c r="E21">
        <v>678.23220000000003</v>
      </c>
    </row>
    <row r="22" spans="1:20" x14ac:dyDescent="0.3">
      <c r="A22" t="s">
        <v>48</v>
      </c>
      <c r="B22">
        <v>579.19230000000005</v>
      </c>
      <c r="C22" t="s">
        <v>49</v>
      </c>
      <c r="E22">
        <v>15.608459999999999</v>
      </c>
    </row>
    <row r="23" spans="1:20" x14ac:dyDescent="0.3">
      <c r="A23" t="s">
        <v>50</v>
      </c>
      <c r="B23">
        <v>31533592</v>
      </c>
      <c r="C23" t="s">
        <v>51</v>
      </c>
      <c r="E23">
        <v>15.868969999999999</v>
      </c>
    </row>
    <row r="24" spans="1:20" x14ac:dyDescent="0.3">
      <c r="A24" t="s">
        <v>52</v>
      </c>
      <c r="B24">
        <v>-770.42280000000005</v>
      </c>
      <c r="C24" t="s">
        <v>53</v>
      </c>
      <c r="E24">
        <v>15.713889999999999</v>
      </c>
    </row>
    <row r="25" spans="1:20" x14ac:dyDescent="0.3">
      <c r="A25" t="s">
        <v>54</v>
      </c>
      <c r="B25">
        <v>2.1082139999999998</v>
      </c>
    </row>
    <row r="31" spans="1:20" x14ac:dyDescent="0.3">
      <c r="P31" s="16" t="s">
        <v>28</v>
      </c>
      <c r="Q31" s="16"/>
      <c r="R31" s="16"/>
      <c r="S31" s="16"/>
      <c r="T31" s="16"/>
    </row>
    <row r="32" spans="1:20" x14ac:dyDescent="0.3">
      <c r="P32" s="13" t="s">
        <v>29</v>
      </c>
      <c r="Q32" s="13">
        <v>0.759934</v>
      </c>
      <c r="R32" s="13" t="s">
        <v>231</v>
      </c>
      <c r="S32" s="13"/>
      <c r="T32" s="13">
        <v>0.38550000000000001</v>
      </c>
    </row>
    <row r="33" spans="16:20" x14ac:dyDescent="0.3">
      <c r="P33" s="4" t="s">
        <v>31</v>
      </c>
      <c r="Q33" s="4">
        <v>0.76967300000000005</v>
      </c>
      <c r="R33" s="4" t="s">
        <v>32</v>
      </c>
      <c r="S33" s="4"/>
      <c r="T33" s="4">
        <v>0.38030000000000003</v>
      </c>
    </row>
    <row r="37" spans="16:20" x14ac:dyDescent="0.3">
      <c r="P37" s="16" t="s">
        <v>28</v>
      </c>
      <c r="Q37" s="16"/>
      <c r="R37" s="16"/>
      <c r="S37" s="16"/>
      <c r="T37" s="16"/>
    </row>
    <row r="38" spans="16:20" x14ac:dyDescent="0.3">
      <c r="P38" t="s">
        <v>29</v>
      </c>
      <c r="Q38">
        <v>3.6386500000000002</v>
      </c>
      <c r="R38" t="s">
        <v>30</v>
      </c>
      <c r="T38">
        <v>4.8800000000000003E-2</v>
      </c>
    </row>
    <row r="39" spans="16:20" x14ac:dyDescent="0.3">
      <c r="P39" s="4" t="s">
        <v>31</v>
      </c>
      <c r="Q39" s="4">
        <v>3.5915680000000001</v>
      </c>
      <c r="R39" s="4" t="s">
        <v>32</v>
      </c>
      <c r="S39" s="4"/>
      <c r="T39" s="4">
        <v>4.8099999999999997E-2</v>
      </c>
    </row>
  </sheetData>
  <mergeCells count="2">
    <mergeCell ref="P31:T31"/>
    <mergeCell ref="P37:T37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Views.Workfile.2" shapeId="8194" r:id="rId3">
          <objectPr defaultSize="0" autoPict="0" r:id="rId4">
            <anchor moveWithCells="1">
              <from>
                <xdr:col>5</xdr:col>
                <xdr:colOff>541020</xdr:colOff>
                <xdr:row>27</xdr:row>
                <xdr:rowOff>167640</xdr:rowOff>
              </from>
              <to>
                <xdr:col>14</xdr:col>
                <xdr:colOff>259080</xdr:colOff>
                <xdr:row>45</xdr:row>
                <xdr:rowOff>7620</xdr:rowOff>
              </to>
            </anchor>
          </objectPr>
        </oleObject>
      </mc:Choice>
      <mc:Fallback>
        <oleObject progId="EViews.Workfile.2" shapeId="8194" r:id="rId3"/>
      </mc:Fallback>
    </mc:AlternateContent>
    <mc:AlternateContent xmlns:mc="http://schemas.openxmlformats.org/markup-compatibility/2006">
      <mc:Choice Requires="x14">
        <oleObject progId="EViews.Workfile.2" shapeId="8195" r:id="rId5">
          <objectPr defaultSize="0" r:id="rId6">
            <anchor moveWithCells="1">
              <from>
                <xdr:col>14</xdr:col>
                <xdr:colOff>441960</xdr:colOff>
                <xdr:row>0</xdr:row>
                <xdr:rowOff>83820</xdr:rowOff>
              </from>
              <to>
                <xdr:col>25</xdr:col>
                <xdr:colOff>175260</xdr:colOff>
                <xdr:row>26</xdr:row>
                <xdr:rowOff>144780</xdr:rowOff>
              </to>
            </anchor>
          </objectPr>
        </oleObject>
      </mc:Choice>
      <mc:Fallback>
        <oleObject progId="EViews.Workfile.2" shapeId="8195" r:id="rId5"/>
      </mc:Fallback>
    </mc:AlternateContent>
    <mc:AlternateContent xmlns:mc="http://schemas.openxmlformats.org/markup-compatibility/2006">
      <mc:Choice Requires="x14">
        <oleObject progId="EViews.Workfile.2" shapeId="8196" r:id="rId7">
          <objectPr defaultSize="0" autoPict="0" r:id="rId8">
            <anchor moveWithCells="1">
              <from>
                <xdr:col>30</xdr:col>
                <xdr:colOff>266700</xdr:colOff>
                <xdr:row>32</xdr:row>
                <xdr:rowOff>121920</xdr:rowOff>
              </from>
              <to>
                <xdr:col>40</xdr:col>
                <xdr:colOff>274320</xdr:colOff>
                <xdr:row>46</xdr:row>
                <xdr:rowOff>144780</xdr:rowOff>
              </to>
            </anchor>
          </objectPr>
        </oleObject>
      </mc:Choice>
      <mc:Fallback>
        <oleObject progId="EViews.Workfile.2" shapeId="8196" r:id="rId7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FCC7-4EB2-42D3-A73F-2E4FBCA2FFF1}">
  <dimension ref="A1:I35"/>
  <sheetViews>
    <sheetView zoomScale="70" zoomScaleNormal="70" workbookViewId="0">
      <selection activeCell="AA55" sqref="AA55"/>
    </sheetView>
  </sheetViews>
  <sheetFormatPr defaultRowHeight="14.4" x14ac:dyDescent="0.3"/>
  <sheetData>
    <row r="1" spans="1:5" x14ac:dyDescent="0.3">
      <c r="A1" t="s">
        <v>232</v>
      </c>
    </row>
    <row r="2" spans="1:5" x14ac:dyDescent="0.3">
      <c r="A2" t="s">
        <v>233</v>
      </c>
    </row>
    <row r="4" spans="1:5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</row>
    <row r="6" spans="1:5" x14ac:dyDescent="0.3">
      <c r="A6" t="e">
        <f>SQRT(GARCH)</f>
        <v>#NAME?</v>
      </c>
      <c r="B6">
        <v>6.2752000000000002E-2</v>
      </c>
      <c r="C6">
        <v>0.38028299999999998</v>
      </c>
      <c r="D6">
        <v>0.16501399999999999</v>
      </c>
      <c r="E6">
        <v>0.86890000000000001</v>
      </c>
    </row>
    <row r="7" spans="1:5" x14ac:dyDescent="0.3">
      <c r="A7" t="s">
        <v>38</v>
      </c>
      <c r="B7">
        <v>143.2731</v>
      </c>
      <c r="C7">
        <v>266.52820000000003</v>
      </c>
      <c r="D7">
        <v>0.53755299999999995</v>
      </c>
      <c r="E7">
        <v>0.59089999999999998</v>
      </c>
    </row>
    <row r="8" spans="1:5" x14ac:dyDescent="0.3">
      <c r="A8" t="s">
        <v>234</v>
      </c>
      <c r="B8">
        <v>-6.1513999999999999E-2</v>
      </c>
      <c r="C8">
        <v>0.13216800000000001</v>
      </c>
      <c r="D8">
        <v>-0.46542499999999998</v>
      </c>
      <c r="E8">
        <v>0.64159999999999995</v>
      </c>
    </row>
    <row r="9" spans="1:5" x14ac:dyDescent="0.3">
      <c r="A9" t="s">
        <v>69</v>
      </c>
      <c r="B9">
        <v>0.30454500000000001</v>
      </c>
      <c r="C9">
        <v>0.11160399999999999</v>
      </c>
      <c r="D9">
        <v>2.7288019999999999</v>
      </c>
      <c r="E9">
        <v>6.4000000000000003E-3</v>
      </c>
    </row>
    <row r="10" spans="1:5" x14ac:dyDescent="0.3">
      <c r="A10" t="s">
        <v>67</v>
      </c>
      <c r="B10">
        <v>-0.30286999999999997</v>
      </c>
      <c r="C10">
        <v>9.7396999999999997E-2</v>
      </c>
      <c r="D10">
        <v>-3.1096370000000002</v>
      </c>
      <c r="E10">
        <v>1.9E-3</v>
      </c>
    </row>
    <row r="11" spans="1:5" x14ac:dyDescent="0.3">
      <c r="A11" t="s">
        <v>68</v>
      </c>
      <c r="B11">
        <v>-5.6592000000000003E-2</v>
      </c>
      <c r="C11">
        <v>5.9400000000000001E-2</v>
      </c>
      <c r="D11">
        <v>-0.95273600000000003</v>
      </c>
      <c r="E11">
        <v>0.3407</v>
      </c>
    </row>
    <row r="12" spans="1:5" x14ac:dyDescent="0.3">
      <c r="A12" t="s">
        <v>70</v>
      </c>
      <c r="B12">
        <v>-0.82747199999999999</v>
      </c>
      <c r="C12">
        <v>3.3556999999999997E-2</v>
      </c>
      <c r="D12">
        <v>-24.658860000000001</v>
      </c>
      <c r="E12">
        <v>0</v>
      </c>
    </row>
    <row r="14" spans="1:5" x14ac:dyDescent="0.3">
      <c r="B14" t="s">
        <v>41</v>
      </c>
    </row>
    <row r="16" spans="1:5" x14ac:dyDescent="0.3">
      <c r="A16" t="s">
        <v>228</v>
      </c>
      <c r="B16">
        <v>10823624</v>
      </c>
      <c r="C16" s="1">
        <v>377000000</v>
      </c>
      <c r="D16">
        <v>2.8673000000000001E-2</v>
      </c>
      <c r="E16">
        <v>0.97709999999999997</v>
      </c>
    </row>
    <row r="17" spans="1:9" x14ac:dyDescent="0.3">
      <c r="A17" t="s">
        <v>229</v>
      </c>
      <c r="B17">
        <v>5.4486E-2</v>
      </c>
      <c r="C17">
        <v>35.077030000000001</v>
      </c>
      <c r="D17">
        <v>1.5529999999999999E-3</v>
      </c>
      <c r="E17">
        <v>0.99880000000000002</v>
      </c>
    </row>
    <row r="18" spans="1:9" x14ac:dyDescent="0.3">
      <c r="A18" t="s">
        <v>230</v>
      </c>
      <c r="B18">
        <v>0.97311899999999996</v>
      </c>
      <c r="C18">
        <v>481.45400000000001</v>
      </c>
      <c r="D18">
        <v>2.0209999999999998E-3</v>
      </c>
      <c r="E18">
        <v>0.99839999999999995</v>
      </c>
    </row>
    <row r="19" spans="1:9" x14ac:dyDescent="0.3">
      <c r="A19" t="s">
        <v>235</v>
      </c>
      <c r="B19">
        <v>0.14993400000000001</v>
      </c>
      <c r="C19">
        <v>0.57058399999999998</v>
      </c>
      <c r="D19">
        <v>0.26277299999999998</v>
      </c>
      <c r="E19">
        <v>0.79269999999999996</v>
      </c>
    </row>
    <row r="20" spans="1:9" x14ac:dyDescent="0.3">
      <c r="A20" t="s">
        <v>236</v>
      </c>
      <c r="B20">
        <v>2.6348129999999998</v>
      </c>
      <c r="C20">
        <v>5.538824</v>
      </c>
      <c r="D20">
        <v>0.47569899999999998</v>
      </c>
      <c r="E20">
        <v>0.63429999999999997</v>
      </c>
    </row>
    <row r="22" spans="1:9" x14ac:dyDescent="0.3">
      <c r="A22" t="s">
        <v>44</v>
      </c>
      <c r="B22">
        <v>0.333845</v>
      </c>
      <c r="C22" t="s">
        <v>45</v>
      </c>
      <c r="E22">
        <v>156.20509999999999</v>
      </c>
    </row>
    <row r="23" spans="1:9" x14ac:dyDescent="0.3">
      <c r="A23" t="s">
        <v>46</v>
      </c>
      <c r="B23">
        <v>0.29039999999999999</v>
      </c>
      <c r="C23" t="s">
        <v>47</v>
      </c>
      <c r="E23">
        <v>681.67880000000002</v>
      </c>
    </row>
    <row r="24" spans="1:9" x14ac:dyDescent="0.3">
      <c r="A24" t="s">
        <v>48</v>
      </c>
      <c r="B24">
        <v>574.23090000000002</v>
      </c>
      <c r="C24" t="s">
        <v>49</v>
      </c>
      <c r="E24">
        <v>15.66844</v>
      </c>
    </row>
    <row r="25" spans="1:9" x14ac:dyDescent="0.3">
      <c r="A25" t="s">
        <v>50</v>
      </c>
      <c r="B25">
        <v>30336179</v>
      </c>
      <c r="C25" t="s">
        <v>51</v>
      </c>
      <c r="E25">
        <v>15.983000000000001</v>
      </c>
    </row>
    <row r="26" spans="1:9" x14ac:dyDescent="0.3">
      <c r="A26" t="s">
        <v>52</v>
      </c>
      <c r="B26">
        <v>-763.58759999999995</v>
      </c>
      <c r="C26" t="s">
        <v>53</v>
      </c>
      <c r="E26">
        <v>15.79571</v>
      </c>
    </row>
    <row r="27" spans="1:9" x14ac:dyDescent="0.3">
      <c r="A27" t="s">
        <v>54</v>
      </c>
      <c r="B27">
        <v>1.974936</v>
      </c>
      <c r="I27" t="s">
        <v>238</v>
      </c>
    </row>
    <row r="32" spans="1:9" x14ac:dyDescent="0.3">
      <c r="B32" t="s">
        <v>28</v>
      </c>
    </row>
    <row r="34" spans="2:6" x14ac:dyDescent="0.3">
      <c r="B34" t="s">
        <v>29</v>
      </c>
      <c r="C34">
        <v>3.6849999999999999E-3</v>
      </c>
      <c r="D34" t="s">
        <v>231</v>
      </c>
      <c r="F34">
        <v>0.95169999999999999</v>
      </c>
    </row>
    <row r="35" spans="2:6" x14ac:dyDescent="0.3">
      <c r="B35" t="s">
        <v>31</v>
      </c>
      <c r="C35">
        <v>3.761E-3</v>
      </c>
      <c r="D35" t="s">
        <v>32</v>
      </c>
      <c r="F35">
        <v>0.95109999999999995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Views.Workfile.2" shapeId="9218" r:id="rId3">
          <objectPr defaultSize="0" autoPict="0" r:id="rId4">
            <anchor moveWithCells="1">
              <from>
                <xdr:col>26</xdr:col>
                <xdr:colOff>388620</xdr:colOff>
                <xdr:row>2</xdr:row>
                <xdr:rowOff>129540</xdr:rowOff>
              </from>
              <to>
                <xdr:col>35</xdr:col>
                <xdr:colOff>106680</xdr:colOff>
                <xdr:row>19</xdr:row>
                <xdr:rowOff>152400</xdr:rowOff>
              </to>
            </anchor>
          </objectPr>
        </oleObject>
      </mc:Choice>
      <mc:Fallback>
        <oleObject progId="EViews.Workfile.2" shapeId="9218" r:id="rId3"/>
      </mc:Fallback>
    </mc:AlternateContent>
    <mc:AlternateContent xmlns:mc="http://schemas.openxmlformats.org/markup-compatibility/2006">
      <mc:Choice Requires="x14">
        <oleObject progId="EViews.Workfile.2" shapeId="9219" r:id="rId5">
          <objectPr defaultSize="0" autoPict="0" r:id="rId6">
            <anchor moveWithCells="1">
              <from>
                <xdr:col>16</xdr:col>
                <xdr:colOff>365760</xdr:colOff>
                <xdr:row>38</xdr:row>
                <xdr:rowOff>0</xdr:rowOff>
              </from>
              <to>
                <xdr:col>26</xdr:col>
                <xdr:colOff>373380</xdr:colOff>
                <xdr:row>52</xdr:row>
                <xdr:rowOff>22860</xdr:rowOff>
              </to>
            </anchor>
          </objectPr>
        </oleObject>
      </mc:Choice>
      <mc:Fallback>
        <oleObject progId="EViews.Workfile.2" shapeId="9219" r:id="rId5"/>
      </mc:Fallback>
    </mc:AlternateContent>
    <mc:AlternateContent xmlns:mc="http://schemas.openxmlformats.org/markup-compatibility/2006">
      <mc:Choice Requires="x14">
        <oleObject progId="EViews.Workfile.2" shapeId="9220" r:id="rId7">
          <objectPr defaultSize="0" autoPict="0" r:id="rId8">
            <anchor moveWithCells="1">
              <from>
                <xdr:col>7</xdr:col>
                <xdr:colOff>525780</xdr:colOff>
                <xdr:row>1</xdr:row>
                <xdr:rowOff>76200</xdr:rowOff>
              </from>
              <to>
                <xdr:col>18</xdr:col>
                <xdr:colOff>259080</xdr:colOff>
                <xdr:row>27</xdr:row>
                <xdr:rowOff>129540</xdr:rowOff>
              </to>
            </anchor>
          </objectPr>
        </oleObject>
      </mc:Choice>
      <mc:Fallback>
        <oleObject progId="EViews.Workfile.2" shapeId="9220" r:id="rId7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D82F-7AD2-4C85-84C9-B34D9F1D56EF}">
  <dimension ref="A1:N145"/>
  <sheetViews>
    <sheetView zoomScale="70" zoomScaleNormal="70" workbookViewId="0">
      <selection activeCell="R29" sqref="R29"/>
    </sheetView>
  </sheetViews>
  <sheetFormatPr defaultRowHeight="14.4" x14ac:dyDescent="0.3"/>
  <sheetData>
    <row r="1" spans="1:14" x14ac:dyDescent="0.3">
      <c r="A1" t="s">
        <v>80</v>
      </c>
      <c r="D1" t="s">
        <v>0</v>
      </c>
      <c r="E1" t="s">
        <v>1</v>
      </c>
      <c r="L1" t="s">
        <v>0</v>
      </c>
      <c r="M1" t="s">
        <v>1</v>
      </c>
      <c r="N1" t="s">
        <v>224</v>
      </c>
    </row>
    <row r="2" spans="1:14" x14ac:dyDescent="0.3">
      <c r="A2" t="s">
        <v>81</v>
      </c>
      <c r="D2">
        <v>201501</v>
      </c>
      <c r="E2">
        <v>8808.900390625</v>
      </c>
      <c r="L2">
        <v>201501</v>
      </c>
      <c r="M2">
        <v>8808.900390625</v>
      </c>
    </row>
    <row r="3" spans="1:14" x14ac:dyDescent="0.3">
      <c r="A3" t="s">
        <v>82</v>
      </c>
      <c r="D3">
        <v>201502</v>
      </c>
      <c r="E3">
        <v>8901.85</v>
      </c>
      <c r="L3">
        <v>201502</v>
      </c>
      <c r="M3">
        <v>8901.85</v>
      </c>
    </row>
    <row r="4" spans="1:14" x14ac:dyDescent="0.3">
      <c r="A4" t="s">
        <v>83</v>
      </c>
      <c r="D4">
        <v>201503</v>
      </c>
      <c r="E4">
        <v>8491</v>
      </c>
      <c r="L4">
        <v>201503</v>
      </c>
      <c r="M4">
        <v>8491</v>
      </c>
    </row>
    <row r="5" spans="1:14" x14ac:dyDescent="0.3">
      <c r="A5" t="s">
        <v>84</v>
      </c>
      <c r="D5">
        <v>201504</v>
      </c>
      <c r="E5">
        <v>8181.5</v>
      </c>
      <c r="L5">
        <v>201504</v>
      </c>
      <c r="M5">
        <v>8181.5</v>
      </c>
    </row>
    <row r="6" spans="1:14" x14ac:dyDescent="0.3">
      <c r="A6" t="s">
        <v>85</v>
      </c>
      <c r="D6">
        <v>201505</v>
      </c>
      <c r="E6">
        <v>8433.65</v>
      </c>
      <c r="L6">
        <v>201505</v>
      </c>
      <c r="M6">
        <v>8433.65</v>
      </c>
    </row>
    <row r="7" spans="1:14" x14ac:dyDescent="0.3">
      <c r="A7" t="s">
        <v>86</v>
      </c>
      <c r="D7">
        <v>201506</v>
      </c>
      <c r="E7">
        <v>8368.5</v>
      </c>
      <c r="L7">
        <v>201506</v>
      </c>
      <c r="M7">
        <v>8368.5</v>
      </c>
    </row>
    <row r="8" spans="1:14" x14ac:dyDescent="0.3">
      <c r="A8" t="s">
        <v>87</v>
      </c>
      <c r="D8">
        <v>201507</v>
      </c>
      <c r="E8">
        <v>8532.85</v>
      </c>
      <c r="L8">
        <v>201507</v>
      </c>
      <c r="M8">
        <v>8532.85</v>
      </c>
    </row>
    <row r="9" spans="1:14" x14ac:dyDescent="0.3">
      <c r="A9" t="s">
        <v>88</v>
      </c>
      <c r="D9">
        <v>201508</v>
      </c>
      <c r="E9">
        <v>7971.3</v>
      </c>
      <c r="L9">
        <v>201508</v>
      </c>
      <c r="M9">
        <v>7971.3</v>
      </c>
    </row>
    <row r="10" spans="1:14" x14ac:dyDescent="0.3">
      <c r="A10" t="s">
        <v>89</v>
      </c>
      <c r="D10">
        <v>201509</v>
      </c>
      <c r="E10">
        <v>7948.9</v>
      </c>
      <c r="L10">
        <v>201509</v>
      </c>
      <c r="M10">
        <v>7948.9</v>
      </c>
    </row>
    <row r="11" spans="1:14" x14ac:dyDescent="0.3">
      <c r="A11" t="s">
        <v>90</v>
      </c>
      <c r="D11">
        <v>201510</v>
      </c>
      <c r="E11">
        <v>8065.8</v>
      </c>
      <c r="L11">
        <v>201510</v>
      </c>
      <c r="M11">
        <v>8065.8</v>
      </c>
    </row>
    <row r="12" spans="1:14" x14ac:dyDescent="0.3">
      <c r="A12" t="s">
        <v>91</v>
      </c>
      <c r="D12">
        <v>201511</v>
      </c>
      <c r="E12">
        <v>7935.25</v>
      </c>
      <c r="L12">
        <v>201511</v>
      </c>
      <c r="M12">
        <v>7935.25</v>
      </c>
    </row>
    <row r="13" spans="1:14" x14ac:dyDescent="0.3">
      <c r="A13" t="s">
        <v>92</v>
      </c>
      <c r="D13">
        <v>201512</v>
      </c>
      <c r="E13">
        <v>7946.35</v>
      </c>
      <c r="L13">
        <v>201512</v>
      </c>
      <c r="M13">
        <v>7946.35</v>
      </c>
    </row>
    <row r="14" spans="1:14" x14ac:dyDescent="0.3">
      <c r="A14" t="s">
        <v>93</v>
      </c>
      <c r="D14">
        <v>201601</v>
      </c>
      <c r="E14">
        <v>7563.55</v>
      </c>
      <c r="L14">
        <v>201601</v>
      </c>
      <c r="M14">
        <v>7563.55</v>
      </c>
    </row>
    <row r="15" spans="1:14" x14ac:dyDescent="0.3">
      <c r="A15" t="s">
        <v>94</v>
      </c>
      <c r="D15">
        <v>201602</v>
      </c>
      <c r="E15">
        <v>6987.05</v>
      </c>
      <c r="L15">
        <v>201602</v>
      </c>
      <c r="M15">
        <v>6987.05</v>
      </c>
    </row>
    <row r="16" spans="1:14" x14ac:dyDescent="0.3">
      <c r="A16" t="s">
        <v>95</v>
      </c>
      <c r="D16">
        <v>201603</v>
      </c>
      <c r="E16">
        <v>7738.4</v>
      </c>
      <c r="L16">
        <v>201603</v>
      </c>
      <c r="M16">
        <v>7738.4</v>
      </c>
    </row>
    <row r="17" spans="1:13" x14ac:dyDescent="0.3">
      <c r="A17" t="s">
        <v>96</v>
      </c>
      <c r="D17">
        <v>201604</v>
      </c>
      <c r="E17">
        <v>7849.7998046875</v>
      </c>
      <c r="L17">
        <v>201604</v>
      </c>
      <c r="M17">
        <v>7849.7998046875</v>
      </c>
    </row>
    <row r="18" spans="1:13" x14ac:dyDescent="0.3">
      <c r="A18" t="s">
        <v>97</v>
      </c>
      <c r="D18">
        <v>201605</v>
      </c>
      <c r="E18">
        <v>8160.10009765625</v>
      </c>
      <c r="L18">
        <v>201605</v>
      </c>
      <c r="M18">
        <v>8160.10009765625</v>
      </c>
    </row>
    <row r="19" spans="1:13" x14ac:dyDescent="0.3">
      <c r="A19" t="s">
        <v>98</v>
      </c>
      <c r="D19">
        <v>201606</v>
      </c>
      <c r="E19">
        <v>8287.75</v>
      </c>
      <c r="L19">
        <v>201606</v>
      </c>
      <c r="M19">
        <v>8287.75</v>
      </c>
    </row>
    <row r="20" spans="1:13" x14ac:dyDescent="0.3">
      <c r="A20" t="s">
        <v>99</v>
      </c>
      <c r="D20">
        <v>201607</v>
      </c>
      <c r="E20">
        <v>8638.5</v>
      </c>
      <c r="L20">
        <v>201607</v>
      </c>
      <c r="M20">
        <v>8638.5</v>
      </c>
    </row>
    <row r="21" spans="1:13" x14ac:dyDescent="0.3">
      <c r="A21" t="s">
        <v>100</v>
      </c>
      <c r="D21">
        <v>201608</v>
      </c>
      <c r="E21">
        <v>8786.2001953125</v>
      </c>
      <c r="L21">
        <v>201608</v>
      </c>
      <c r="M21">
        <v>8786.2001953125</v>
      </c>
    </row>
    <row r="22" spans="1:13" x14ac:dyDescent="0.3">
      <c r="A22" t="s">
        <v>101</v>
      </c>
      <c r="D22">
        <v>201609</v>
      </c>
      <c r="E22">
        <v>8611.150390625</v>
      </c>
      <c r="L22">
        <v>201609</v>
      </c>
      <c r="M22">
        <v>8611.150390625</v>
      </c>
    </row>
    <row r="23" spans="1:13" x14ac:dyDescent="0.3">
      <c r="A23" t="s">
        <v>102</v>
      </c>
      <c r="D23">
        <v>201610</v>
      </c>
      <c r="E23">
        <v>8625.7001953125</v>
      </c>
      <c r="L23">
        <v>201610</v>
      </c>
      <c r="M23">
        <v>8625.7001953125</v>
      </c>
    </row>
    <row r="24" spans="1:13" x14ac:dyDescent="0.3">
      <c r="A24" t="s">
        <v>103</v>
      </c>
      <c r="D24">
        <v>201611</v>
      </c>
      <c r="E24">
        <v>8224.5</v>
      </c>
      <c r="L24">
        <v>201611</v>
      </c>
      <c r="M24">
        <v>8224.5</v>
      </c>
    </row>
    <row r="25" spans="1:13" x14ac:dyDescent="0.3">
      <c r="A25" t="s">
        <v>104</v>
      </c>
      <c r="D25">
        <v>201612</v>
      </c>
      <c r="E25">
        <v>8185.7998046875</v>
      </c>
      <c r="L25">
        <v>201612</v>
      </c>
      <c r="M25">
        <v>8185.7998046875</v>
      </c>
    </row>
    <row r="26" spans="1:13" x14ac:dyDescent="0.3">
      <c r="A26" t="s">
        <v>105</v>
      </c>
      <c r="D26">
        <v>201701</v>
      </c>
      <c r="E26">
        <v>8561.2998046875</v>
      </c>
      <c r="L26">
        <v>201701</v>
      </c>
      <c r="M26">
        <v>8561.2998046875</v>
      </c>
    </row>
    <row r="27" spans="1:13" x14ac:dyDescent="0.3">
      <c r="A27" t="s">
        <v>106</v>
      </c>
      <c r="D27">
        <v>201702</v>
      </c>
      <c r="E27">
        <v>8879.599609375</v>
      </c>
      <c r="L27">
        <v>201702</v>
      </c>
      <c r="M27">
        <v>8879.599609375</v>
      </c>
    </row>
    <row r="28" spans="1:13" x14ac:dyDescent="0.3">
      <c r="A28" t="s">
        <v>107</v>
      </c>
      <c r="D28">
        <v>201703</v>
      </c>
      <c r="E28">
        <v>9173.75</v>
      </c>
      <c r="L28">
        <v>201703</v>
      </c>
      <c r="M28">
        <v>9173.75</v>
      </c>
    </row>
    <row r="29" spans="1:13" x14ac:dyDescent="0.3">
      <c r="A29" t="s">
        <v>108</v>
      </c>
      <c r="B29">
        <v>257.57743477531898</v>
      </c>
      <c r="D29">
        <v>201704</v>
      </c>
      <c r="E29">
        <v>9304.0498046875</v>
      </c>
      <c r="L29">
        <v>201704</v>
      </c>
      <c r="M29">
        <v>9304.0498046875</v>
      </c>
    </row>
    <row r="30" spans="1:13" x14ac:dyDescent="0.3">
      <c r="A30" t="s">
        <v>109</v>
      </c>
      <c r="B30">
        <v>-101.100109915545</v>
      </c>
      <c r="D30">
        <v>201705</v>
      </c>
      <c r="E30">
        <v>9621.25</v>
      </c>
      <c r="F30">
        <v>257.57743477531898</v>
      </c>
      <c r="L30">
        <v>201705</v>
      </c>
      <c r="M30">
        <v>9621.25</v>
      </c>
    </row>
    <row r="31" spans="1:13" x14ac:dyDescent="0.3">
      <c r="A31" t="s">
        <v>110</v>
      </c>
      <c r="B31">
        <v>65.894440522207603</v>
      </c>
      <c r="D31">
        <v>201706</v>
      </c>
      <c r="E31">
        <v>9520.900390625</v>
      </c>
      <c r="F31">
        <v>-101.100109915545</v>
      </c>
      <c r="L31">
        <v>201706</v>
      </c>
      <c r="M31">
        <v>9520.900390625</v>
      </c>
    </row>
    <row r="32" spans="1:13" x14ac:dyDescent="0.3">
      <c r="A32" t="s">
        <v>111</v>
      </c>
      <c r="B32">
        <v>300.05457038150001</v>
      </c>
      <c r="D32">
        <v>201707</v>
      </c>
      <c r="E32">
        <v>10077.099609375</v>
      </c>
      <c r="F32">
        <v>65.894440522207603</v>
      </c>
      <c r="L32">
        <v>201707</v>
      </c>
      <c r="M32">
        <v>10077.099609375</v>
      </c>
    </row>
    <row r="33" spans="1:13" x14ac:dyDescent="0.3">
      <c r="A33" t="s">
        <v>112</v>
      </c>
      <c r="B33">
        <v>248.413015349322</v>
      </c>
      <c r="D33">
        <v>201708</v>
      </c>
      <c r="E33">
        <v>9917.900390625</v>
      </c>
      <c r="F33">
        <v>300.05457038150001</v>
      </c>
      <c r="L33">
        <v>201708</v>
      </c>
      <c r="M33">
        <v>9917.900390625</v>
      </c>
    </row>
    <row r="34" spans="1:13" x14ac:dyDescent="0.3">
      <c r="A34" t="s">
        <v>113</v>
      </c>
      <c r="B34">
        <v>-51.2381407881306</v>
      </c>
      <c r="D34">
        <v>201709</v>
      </c>
      <c r="E34">
        <v>9788.599609375</v>
      </c>
      <c r="F34">
        <v>248.413015349322</v>
      </c>
      <c r="L34">
        <v>201709</v>
      </c>
      <c r="M34">
        <v>9788.599609375</v>
      </c>
    </row>
    <row r="35" spans="1:13" x14ac:dyDescent="0.3">
      <c r="A35" t="s">
        <v>114</v>
      </c>
      <c r="B35">
        <v>-8.3221640893742403</v>
      </c>
      <c r="D35">
        <v>201710</v>
      </c>
      <c r="E35">
        <v>10335.2998046875</v>
      </c>
      <c r="F35">
        <v>-51.2381407881306</v>
      </c>
      <c r="L35">
        <v>201710</v>
      </c>
      <c r="M35">
        <v>10335.2998046875</v>
      </c>
    </row>
    <row r="36" spans="1:13" x14ac:dyDescent="0.3">
      <c r="A36" t="s">
        <v>115</v>
      </c>
      <c r="B36">
        <v>330.84495193602299</v>
      </c>
      <c r="D36">
        <v>201711</v>
      </c>
      <c r="E36">
        <v>10226.5498046875</v>
      </c>
      <c r="F36">
        <v>-8.3221640893742403</v>
      </c>
      <c r="L36">
        <v>201711</v>
      </c>
      <c r="M36">
        <v>10226.5498046875</v>
      </c>
    </row>
    <row r="37" spans="1:13" x14ac:dyDescent="0.3">
      <c r="A37" t="s">
        <v>116</v>
      </c>
      <c r="B37">
        <v>-847.68779685959203</v>
      </c>
      <c r="D37">
        <v>201712</v>
      </c>
      <c r="E37">
        <v>10530.7001953125</v>
      </c>
      <c r="F37">
        <v>330.84495193602299</v>
      </c>
      <c r="L37">
        <v>201712</v>
      </c>
      <c r="M37">
        <v>10530.7001953125</v>
      </c>
    </row>
    <row r="38" spans="1:13" x14ac:dyDescent="0.3">
      <c r="A38" t="s">
        <v>117</v>
      </c>
      <c r="B38">
        <v>-176.480755963554</v>
      </c>
      <c r="D38">
        <v>201801</v>
      </c>
      <c r="E38">
        <v>11027.7001953125</v>
      </c>
      <c r="F38">
        <v>-847.68779685959203</v>
      </c>
      <c r="L38">
        <v>201801</v>
      </c>
      <c r="M38">
        <v>11027.7001953125</v>
      </c>
    </row>
    <row r="39" spans="1:13" x14ac:dyDescent="0.3">
      <c r="A39" t="s">
        <v>118</v>
      </c>
      <c r="B39">
        <v>219.708379307466</v>
      </c>
      <c r="D39">
        <v>201802</v>
      </c>
      <c r="E39">
        <v>10492.849609375</v>
      </c>
      <c r="F39">
        <v>-176.480755963554</v>
      </c>
      <c r="L39">
        <v>201802</v>
      </c>
      <c r="M39">
        <v>10492.849609375</v>
      </c>
    </row>
    <row r="40" spans="1:13" x14ac:dyDescent="0.3">
      <c r="A40" t="s">
        <v>119</v>
      </c>
      <c r="B40">
        <v>53.451794819567802</v>
      </c>
      <c r="D40">
        <v>201803</v>
      </c>
      <c r="E40">
        <v>10113.7001953125</v>
      </c>
      <c r="F40">
        <v>219.708379307466</v>
      </c>
      <c r="L40">
        <v>201803</v>
      </c>
      <c r="M40">
        <v>10113.7001953125</v>
      </c>
    </row>
    <row r="41" spans="1:13" x14ac:dyDescent="0.3">
      <c r="A41" t="s">
        <v>120</v>
      </c>
      <c r="B41">
        <v>180.67921880267301</v>
      </c>
      <c r="D41">
        <v>201804</v>
      </c>
      <c r="E41">
        <v>10739.349609375</v>
      </c>
      <c r="F41">
        <v>53.451794819567802</v>
      </c>
      <c r="L41">
        <v>201804</v>
      </c>
      <c r="M41">
        <v>10739.349609375</v>
      </c>
    </row>
    <row r="42" spans="1:13" x14ac:dyDescent="0.3">
      <c r="A42" t="s">
        <v>121</v>
      </c>
      <c r="B42">
        <v>181.008455629526</v>
      </c>
      <c r="D42">
        <v>201805</v>
      </c>
      <c r="E42">
        <v>10736.150390625</v>
      </c>
      <c r="F42">
        <v>180.67921880267301</v>
      </c>
      <c r="L42">
        <v>201805</v>
      </c>
      <c r="M42">
        <v>10736.150390625</v>
      </c>
    </row>
    <row r="43" spans="1:13" x14ac:dyDescent="0.3">
      <c r="A43" t="s">
        <v>122</v>
      </c>
      <c r="B43">
        <v>489.43552638750401</v>
      </c>
      <c r="D43">
        <v>201806</v>
      </c>
      <c r="E43">
        <v>10714.2998046875</v>
      </c>
      <c r="F43">
        <v>181.008455629526</v>
      </c>
      <c r="L43">
        <v>201806</v>
      </c>
      <c r="M43">
        <v>10714.2998046875</v>
      </c>
    </row>
    <row r="44" spans="1:13" x14ac:dyDescent="0.3">
      <c r="A44" t="s">
        <v>123</v>
      </c>
      <c r="B44">
        <v>-344.65937235739699</v>
      </c>
      <c r="D44">
        <v>201807</v>
      </c>
      <c r="E44">
        <v>11356.5</v>
      </c>
      <c r="F44">
        <v>489.43552638750401</v>
      </c>
      <c r="L44">
        <v>201807</v>
      </c>
      <c r="M44">
        <v>11356.5</v>
      </c>
    </row>
    <row r="45" spans="1:13" x14ac:dyDescent="0.3">
      <c r="A45" t="s">
        <v>124</v>
      </c>
      <c r="B45">
        <v>316.03258938832801</v>
      </c>
      <c r="D45">
        <v>201808</v>
      </c>
      <c r="E45">
        <v>11680.5</v>
      </c>
      <c r="F45">
        <v>-344.65937235739699</v>
      </c>
      <c r="L45">
        <v>201808</v>
      </c>
      <c r="M45">
        <v>11680.5</v>
      </c>
    </row>
    <row r="46" spans="1:13" x14ac:dyDescent="0.3">
      <c r="A46" t="s">
        <v>125</v>
      </c>
      <c r="B46">
        <v>317.60127426523798</v>
      </c>
      <c r="D46">
        <v>201809</v>
      </c>
      <c r="E46">
        <v>10930.4501953125</v>
      </c>
      <c r="F46">
        <v>316.03258938832801</v>
      </c>
      <c r="L46">
        <v>201809</v>
      </c>
      <c r="M46">
        <v>10930.4501953125</v>
      </c>
    </row>
    <row r="47" spans="1:13" x14ac:dyDescent="0.3">
      <c r="A47" t="s">
        <v>126</v>
      </c>
      <c r="B47">
        <v>48.619927006106202</v>
      </c>
      <c r="D47">
        <v>201810</v>
      </c>
      <c r="E47">
        <v>10386.599609375</v>
      </c>
      <c r="F47">
        <v>317.60127426523798</v>
      </c>
      <c r="L47">
        <v>201810</v>
      </c>
      <c r="M47">
        <v>10386.599609375</v>
      </c>
    </row>
    <row r="48" spans="1:13" x14ac:dyDescent="0.3">
      <c r="A48" t="s">
        <v>127</v>
      </c>
      <c r="B48">
        <v>778.01681230942097</v>
      </c>
      <c r="D48">
        <v>201811</v>
      </c>
      <c r="E48">
        <v>10876.75</v>
      </c>
      <c r="F48">
        <v>48.619927006106202</v>
      </c>
      <c r="L48">
        <v>201811</v>
      </c>
      <c r="M48">
        <v>10876.75</v>
      </c>
    </row>
    <row r="49" spans="1:13" x14ac:dyDescent="0.3">
      <c r="A49" t="s">
        <v>128</v>
      </c>
      <c r="B49">
        <v>-137.06851932205501</v>
      </c>
      <c r="D49">
        <v>201812</v>
      </c>
      <c r="E49">
        <v>10862.5498046875</v>
      </c>
      <c r="F49">
        <v>778.01681230942097</v>
      </c>
      <c r="L49">
        <v>201812</v>
      </c>
      <c r="M49">
        <v>10862.5498046875</v>
      </c>
    </row>
    <row r="50" spans="1:13" x14ac:dyDescent="0.3">
      <c r="A50" t="s">
        <v>129</v>
      </c>
      <c r="B50">
        <v>231.75352401171301</v>
      </c>
      <c r="D50">
        <v>201901</v>
      </c>
      <c r="E50">
        <v>10830.9501953125</v>
      </c>
      <c r="F50">
        <v>-137.06851932205501</v>
      </c>
      <c r="L50">
        <v>201901</v>
      </c>
      <c r="M50">
        <v>10830.9501953125</v>
      </c>
    </row>
    <row r="51" spans="1:13" x14ac:dyDescent="0.3">
      <c r="A51" t="s">
        <v>130</v>
      </c>
      <c r="B51">
        <v>862.66611283449197</v>
      </c>
      <c r="D51">
        <v>201902</v>
      </c>
      <c r="E51">
        <v>10792.5</v>
      </c>
      <c r="F51">
        <v>231.75352401171301</v>
      </c>
      <c r="L51">
        <v>201902</v>
      </c>
      <c r="M51">
        <v>10792.5</v>
      </c>
    </row>
    <row r="52" spans="1:13" x14ac:dyDescent="0.3">
      <c r="A52" t="s">
        <v>131</v>
      </c>
      <c r="B52">
        <v>-182.62443637174999</v>
      </c>
      <c r="D52">
        <v>201903</v>
      </c>
      <c r="E52">
        <v>11623.900390625</v>
      </c>
      <c r="F52">
        <v>862.66611283449197</v>
      </c>
      <c r="L52">
        <v>201903</v>
      </c>
      <c r="M52">
        <v>11623.900390625</v>
      </c>
    </row>
    <row r="53" spans="1:13" x14ac:dyDescent="0.3">
      <c r="A53" t="s">
        <v>132</v>
      </c>
      <c r="B53">
        <v>350.00917826724401</v>
      </c>
      <c r="D53">
        <v>201904</v>
      </c>
      <c r="E53">
        <v>11748.150390625</v>
      </c>
      <c r="F53">
        <v>-182.62443637174999</v>
      </c>
      <c r="L53">
        <v>201904</v>
      </c>
      <c r="M53">
        <v>11748.150390625</v>
      </c>
    </row>
    <row r="54" spans="1:13" x14ac:dyDescent="0.3">
      <c r="A54" t="s">
        <v>133</v>
      </c>
      <c r="B54">
        <v>166.53039596737301</v>
      </c>
      <c r="D54">
        <v>201905</v>
      </c>
      <c r="E54">
        <v>11922.7998046875</v>
      </c>
      <c r="F54">
        <v>350.00917826724401</v>
      </c>
      <c r="L54">
        <v>201905</v>
      </c>
      <c r="M54">
        <v>11922.7998046875</v>
      </c>
    </row>
    <row r="55" spans="1:13" x14ac:dyDescent="0.3">
      <c r="A55" t="s">
        <v>134</v>
      </c>
      <c r="B55">
        <v>149.556592982837</v>
      </c>
      <c r="D55">
        <v>201906</v>
      </c>
      <c r="E55">
        <v>11788.849609375</v>
      </c>
      <c r="F55">
        <v>166.53039596737301</v>
      </c>
      <c r="L55">
        <v>201906</v>
      </c>
      <c r="M55">
        <v>11788.849609375</v>
      </c>
    </row>
    <row r="56" spans="1:13" x14ac:dyDescent="0.3">
      <c r="A56" t="s">
        <v>135</v>
      </c>
      <c r="B56">
        <v>393.62828770830203</v>
      </c>
      <c r="D56">
        <v>201907</v>
      </c>
      <c r="E56">
        <v>11118</v>
      </c>
      <c r="F56">
        <v>149.556592982837</v>
      </c>
      <c r="L56">
        <v>201907</v>
      </c>
      <c r="M56">
        <v>11118</v>
      </c>
    </row>
    <row r="57" spans="1:13" x14ac:dyDescent="0.3">
      <c r="A57" t="s">
        <v>136</v>
      </c>
      <c r="B57">
        <v>241.17003042659201</v>
      </c>
      <c r="D57">
        <v>201908</v>
      </c>
      <c r="E57">
        <v>11023.25</v>
      </c>
      <c r="F57">
        <v>393.62828770830203</v>
      </c>
      <c r="L57">
        <v>201908</v>
      </c>
      <c r="M57">
        <v>11023.25</v>
      </c>
    </row>
    <row r="58" spans="1:13" x14ac:dyDescent="0.3">
      <c r="A58" t="s">
        <v>137</v>
      </c>
      <c r="B58">
        <v>192.40120849431699</v>
      </c>
      <c r="D58">
        <v>201909</v>
      </c>
      <c r="E58">
        <v>11474.4501953125</v>
      </c>
      <c r="F58">
        <v>241.17003042659201</v>
      </c>
      <c r="L58">
        <v>201909</v>
      </c>
      <c r="M58">
        <v>11474.4501953125</v>
      </c>
    </row>
    <row r="59" spans="1:13" x14ac:dyDescent="0.3">
      <c r="A59" t="s">
        <v>138</v>
      </c>
      <c r="B59">
        <v>227.00122658461399</v>
      </c>
      <c r="D59">
        <v>201910</v>
      </c>
      <c r="E59">
        <v>11877.4501953125</v>
      </c>
      <c r="F59">
        <v>192.40120849431699</v>
      </c>
      <c r="L59">
        <v>201910</v>
      </c>
      <c r="M59">
        <v>11877.4501953125</v>
      </c>
    </row>
    <row r="60" spans="1:13" x14ac:dyDescent="0.3">
      <c r="A60" t="s">
        <v>139</v>
      </c>
      <c r="B60">
        <v>97.200497134595693</v>
      </c>
      <c r="D60">
        <v>201911</v>
      </c>
      <c r="E60">
        <v>12056.0498046875</v>
      </c>
      <c r="F60">
        <v>227.00122658461399</v>
      </c>
      <c r="L60">
        <v>201911</v>
      </c>
      <c r="M60">
        <v>12056.0498046875</v>
      </c>
    </row>
    <row r="61" spans="1:13" x14ac:dyDescent="0.3">
      <c r="A61" t="s">
        <v>140</v>
      </c>
      <c r="B61">
        <v>110.166985371761</v>
      </c>
      <c r="D61">
        <v>201912</v>
      </c>
      <c r="E61">
        <v>12168.4501953125</v>
      </c>
      <c r="F61">
        <v>97.200497134595693</v>
      </c>
      <c r="L61">
        <v>201912</v>
      </c>
      <c r="M61">
        <v>12168.4501953125</v>
      </c>
    </row>
    <row r="62" spans="1:13" x14ac:dyDescent="0.3">
      <c r="A62" t="s">
        <v>141</v>
      </c>
      <c r="B62">
        <v>120.044196824202</v>
      </c>
      <c r="D62">
        <v>202001</v>
      </c>
      <c r="E62">
        <v>11962.099609375</v>
      </c>
      <c r="F62">
        <v>110.166985371761</v>
      </c>
      <c r="L62">
        <v>202001</v>
      </c>
      <c r="M62">
        <v>11962.099609375</v>
      </c>
    </row>
    <row r="63" spans="1:13" x14ac:dyDescent="0.3">
      <c r="A63" t="s">
        <v>142</v>
      </c>
      <c r="B63">
        <v>13.7491639614879</v>
      </c>
      <c r="D63">
        <v>202002</v>
      </c>
      <c r="E63">
        <v>11201.75</v>
      </c>
      <c r="F63">
        <v>120.044196824202</v>
      </c>
      <c r="L63">
        <v>202002</v>
      </c>
      <c r="M63">
        <v>11201.75</v>
      </c>
    </row>
    <row r="64" spans="1:13" x14ac:dyDescent="0.3">
      <c r="A64" t="s">
        <v>143</v>
      </c>
      <c r="B64">
        <v>18.058380075474201</v>
      </c>
      <c r="D64">
        <v>202003</v>
      </c>
      <c r="E64">
        <v>8597.75</v>
      </c>
      <c r="F64">
        <v>13.7491639614879</v>
      </c>
      <c r="L64">
        <v>202003</v>
      </c>
      <c r="M64">
        <v>8597.75</v>
      </c>
    </row>
    <row r="65" spans="1:13" x14ac:dyDescent="0.3">
      <c r="A65" t="s">
        <v>144</v>
      </c>
      <c r="B65">
        <v>138.240727390346</v>
      </c>
      <c r="D65">
        <v>202004</v>
      </c>
      <c r="E65">
        <v>9859.900390625</v>
      </c>
      <c r="F65">
        <v>18.058380075474201</v>
      </c>
      <c r="L65">
        <v>202004</v>
      </c>
      <c r="M65">
        <v>9859.900390625</v>
      </c>
    </row>
    <row r="66" spans="1:13" x14ac:dyDescent="0.3">
      <c r="A66" t="s">
        <v>145</v>
      </c>
      <c r="B66">
        <v>169.07432870443799</v>
      </c>
      <c r="D66">
        <v>202005</v>
      </c>
      <c r="E66">
        <v>9580.2998046875</v>
      </c>
      <c r="F66">
        <v>138.240727390346</v>
      </c>
      <c r="L66">
        <v>202005</v>
      </c>
      <c r="M66">
        <v>9580.2998046875</v>
      </c>
    </row>
    <row r="67" spans="1:13" x14ac:dyDescent="0.3">
      <c r="A67" t="s">
        <v>146</v>
      </c>
      <c r="B67">
        <v>-13.091328466951101</v>
      </c>
      <c r="D67">
        <v>202006</v>
      </c>
      <c r="E67">
        <v>10302.099609375</v>
      </c>
      <c r="F67">
        <v>169.07432870443799</v>
      </c>
      <c r="L67">
        <v>202006</v>
      </c>
      <c r="M67">
        <v>10302.099609375</v>
      </c>
    </row>
    <row r="68" spans="1:13" x14ac:dyDescent="0.3">
      <c r="A68" t="s">
        <v>147</v>
      </c>
      <c r="B68">
        <v>264.16048086610698</v>
      </c>
      <c r="D68">
        <v>202007</v>
      </c>
      <c r="E68">
        <v>11073.4501953125</v>
      </c>
      <c r="F68">
        <v>-13.091328466951101</v>
      </c>
      <c r="L68">
        <v>202007</v>
      </c>
      <c r="M68">
        <v>11073.4501953125</v>
      </c>
    </row>
    <row r="69" spans="1:13" x14ac:dyDescent="0.3">
      <c r="A69" t="s">
        <v>148</v>
      </c>
      <c r="B69">
        <v>246.385487499291</v>
      </c>
      <c r="D69">
        <v>202008</v>
      </c>
      <c r="E69">
        <v>11387.5</v>
      </c>
      <c r="F69">
        <v>264.16048086610698</v>
      </c>
      <c r="L69">
        <v>202008</v>
      </c>
      <c r="M69">
        <v>11387.5</v>
      </c>
    </row>
    <row r="70" spans="1:13" x14ac:dyDescent="0.3">
      <c r="A70" t="s">
        <v>149</v>
      </c>
      <c r="B70">
        <v>-198.718406809014</v>
      </c>
      <c r="D70">
        <v>202009</v>
      </c>
      <c r="E70">
        <v>11247.5498046875</v>
      </c>
      <c r="F70">
        <v>246.385487499291</v>
      </c>
      <c r="L70">
        <v>202009</v>
      </c>
      <c r="M70">
        <v>11247.5498046875</v>
      </c>
    </row>
    <row r="71" spans="1:13" x14ac:dyDescent="0.3">
      <c r="A71" t="s">
        <v>150</v>
      </c>
      <c r="B71">
        <v>319.078940850278</v>
      </c>
      <c r="D71">
        <v>202010</v>
      </c>
      <c r="E71">
        <v>11642.4</v>
      </c>
      <c r="F71">
        <v>-198.718406809014</v>
      </c>
      <c r="L71">
        <v>202010</v>
      </c>
      <c r="M71">
        <v>11642.4</v>
      </c>
    </row>
    <row r="72" spans="1:13" x14ac:dyDescent="0.3">
      <c r="A72" t="s">
        <v>151</v>
      </c>
      <c r="B72">
        <v>158.23813684237101</v>
      </c>
      <c r="D72">
        <v>202011</v>
      </c>
      <c r="E72">
        <v>12968.95</v>
      </c>
      <c r="F72">
        <v>319.078940850278</v>
      </c>
      <c r="L72">
        <v>202011</v>
      </c>
      <c r="M72">
        <v>12968.95</v>
      </c>
    </row>
    <row r="73" spans="1:13" x14ac:dyDescent="0.3">
      <c r="A73" t="s">
        <v>152</v>
      </c>
      <c r="B73">
        <v>131.89129404961199</v>
      </c>
      <c r="D73">
        <v>202012</v>
      </c>
      <c r="E73">
        <v>13981.75</v>
      </c>
      <c r="F73">
        <v>158.23813684237101</v>
      </c>
      <c r="L73">
        <v>202012</v>
      </c>
      <c r="M73">
        <v>13981.75</v>
      </c>
    </row>
    <row r="74" spans="1:13" x14ac:dyDescent="0.3">
      <c r="A74" t="s">
        <v>153</v>
      </c>
      <c r="B74">
        <v>359.16649967438201</v>
      </c>
      <c r="D74">
        <v>202101</v>
      </c>
      <c r="E74">
        <v>13634.6</v>
      </c>
      <c r="F74">
        <v>131.89129404961199</v>
      </c>
      <c r="L74">
        <v>202101</v>
      </c>
      <c r="M74">
        <v>13634.6</v>
      </c>
    </row>
    <row r="75" spans="1:13" x14ac:dyDescent="0.3">
      <c r="A75" t="s">
        <v>154</v>
      </c>
      <c r="B75">
        <v>6.5597080729925699</v>
      </c>
      <c r="D75">
        <v>202102</v>
      </c>
      <c r="E75">
        <v>14529.15</v>
      </c>
      <c r="F75">
        <v>359.16649967438201</v>
      </c>
      <c r="L75">
        <v>202102</v>
      </c>
      <c r="M75">
        <v>14529.15</v>
      </c>
    </row>
    <row r="76" spans="1:13" x14ac:dyDescent="0.3">
      <c r="A76" t="s">
        <v>155</v>
      </c>
      <c r="B76">
        <v>165.05768343902</v>
      </c>
      <c r="D76">
        <v>202103</v>
      </c>
      <c r="E76">
        <v>14690.7</v>
      </c>
      <c r="F76">
        <v>6.5597080729925699</v>
      </c>
      <c r="L76">
        <v>202103</v>
      </c>
      <c r="M76">
        <v>14690.7</v>
      </c>
    </row>
    <row r="77" spans="1:13" x14ac:dyDescent="0.3">
      <c r="A77" t="s">
        <v>156</v>
      </c>
      <c r="B77">
        <v>371.96970967720603</v>
      </c>
      <c r="D77">
        <v>202104</v>
      </c>
      <c r="E77">
        <v>14631.1</v>
      </c>
      <c r="F77">
        <v>165.05768343902</v>
      </c>
      <c r="L77">
        <v>202104</v>
      </c>
      <c r="M77">
        <v>14631.1</v>
      </c>
    </row>
    <row r="78" spans="1:13" x14ac:dyDescent="0.3">
      <c r="A78" t="s">
        <v>157</v>
      </c>
      <c r="B78">
        <v>43.152144324313198</v>
      </c>
      <c r="D78">
        <v>202105</v>
      </c>
      <c r="E78">
        <v>15582.8</v>
      </c>
      <c r="F78">
        <v>371.96970967720603</v>
      </c>
      <c r="L78">
        <v>202105</v>
      </c>
      <c r="M78">
        <v>15582.8</v>
      </c>
    </row>
    <row r="79" spans="1:13" x14ac:dyDescent="0.3">
      <c r="A79" t="s">
        <v>158</v>
      </c>
      <c r="B79">
        <v>244.675878739334</v>
      </c>
      <c r="D79">
        <v>202106</v>
      </c>
      <c r="E79">
        <v>15721.5</v>
      </c>
      <c r="F79">
        <v>43.152144324313198</v>
      </c>
      <c r="L79">
        <v>202106</v>
      </c>
      <c r="M79">
        <v>15721.5</v>
      </c>
    </row>
    <row r="80" spans="1:13" x14ac:dyDescent="0.3">
      <c r="A80" t="s">
        <v>159</v>
      </c>
      <c r="B80">
        <v>184.87113186861501</v>
      </c>
      <c r="D80">
        <v>202107</v>
      </c>
      <c r="E80">
        <v>15763.05</v>
      </c>
      <c r="F80">
        <v>244.675878739334</v>
      </c>
      <c r="L80">
        <v>202107</v>
      </c>
      <c r="M80">
        <v>15763.05</v>
      </c>
    </row>
    <row r="81" spans="1:13" x14ac:dyDescent="0.3">
      <c r="A81" t="s">
        <v>160</v>
      </c>
      <c r="B81">
        <v>176.710333543095</v>
      </c>
      <c r="D81">
        <v>202108</v>
      </c>
      <c r="E81">
        <v>17132.2</v>
      </c>
      <c r="F81">
        <v>184.87113186861501</v>
      </c>
      <c r="L81">
        <v>202108</v>
      </c>
      <c r="M81">
        <v>17132.2</v>
      </c>
    </row>
    <row r="82" spans="1:13" x14ac:dyDescent="0.3">
      <c r="A82" t="s">
        <v>161</v>
      </c>
      <c r="B82">
        <v>283.234744718294</v>
      </c>
      <c r="D82">
        <v>202109</v>
      </c>
      <c r="E82">
        <v>17618.150000000001</v>
      </c>
      <c r="F82">
        <v>176.710333543095</v>
      </c>
      <c r="L82">
        <v>202109</v>
      </c>
      <c r="M82">
        <v>17618.150000000001</v>
      </c>
    </row>
    <row r="83" spans="1:13" x14ac:dyDescent="0.3">
      <c r="A83" t="s">
        <v>162</v>
      </c>
      <c r="B83">
        <v>235.49917608037401</v>
      </c>
      <c r="D83">
        <v>202110</v>
      </c>
      <c r="E83">
        <v>17671.650000000001</v>
      </c>
      <c r="F83">
        <v>283.234744718294</v>
      </c>
      <c r="L83">
        <v>202110</v>
      </c>
      <c r="M83">
        <v>17671.650000000001</v>
      </c>
    </row>
    <row r="84" spans="1:13" x14ac:dyDescent="0.3">
      <c r="A84" t="s">
        <v>163</v>
      </c>
      <c r="B84">
        <v>184.24728139864001</v>
      </c>
      <c r="D84">
        <v>202111</v>
      </c>
      <c r="E84">
        <v>16983.2</v>
      </c>
      <c r="F84">
        <v>235.49917608037401</v>
      </c>
      <c r="L84">
        <v>202111</v>
      </c>
      <c r="M84">
        <v>16983.2</v>
      </c>
    </row>
    <row r="85" spans="1:13" x14ac:dyDescent="0.3">
      <c r="A85" t="s">
        <v>164</v>
      </c>
      <c r="B85">
        <v>185.44599148373999</v>
      </c>
      <c r="D85">
        <v>202112</v>
      </c>
      <c r="E85">
        <v>17354.05</v>
      </c>
      <c r="F85">
        <v>184.24728139864001</v>
      </c>
      <c r="L85">
        <v>202112</v>
      </c>
      <c r="M85">
        <v>17354.05</v>
      </c>
    </row>
    <row r="86" spans="1:13" x14ac:dyDescent="0.3">
      <c r="A86" t="s">
        <v>165</v>
      </c>
      <c r="B86">
        <v>201.08823897834301</v>
      </c>
      <c r="D86">
        <v>202201</v>
      </c>
      <c r="E86">
        <v>17339.849999999999</v>
      </c>
      <c r="F86">
        <v>185.44599148373999</v>
      </c>
      <c r="L86">
        <v>202201</v>
      </c>
      <c r="M86">
        <v>17339.849999999999</v>
      </c>
    </row>
    <row r="87" spans="1:13" x14ac:dyDescent="0.3">
      <c r="A87" t="s">
        <v>166</v>
      </c>
      <c r="B87">
        <v>121.065971749388</v>
      </c>
      <c r="D87">
        <v>202202</v>
      </c>
      <c r="E87">
        <v>16793.900000000001</v>
      </c>
      <c r="F87">
        <v>201.08823897834301</v>
      </c>
      <c r="L87">
        <v>202202</v>
      </c>
      <c r="M87">
        <v>16793.900000000001</v>
      </c>
    </row>
    <row r="88" spans="1:13" x14ac:dyDescent="0.3">
      <c r="A88" t="s">
        <v>167</v>
      </c>
      <c r="B88">
        <v>129.45753502894601</v>
      </c>
      <c r="D88">
        <v>202203</v>
      </c>
      <c r="E88">
        <v>17464.75</v>
      </c>
      <c r="F88">
        <v>121.065971749388</v>
      </c>
      <c r="L88">
        <v>202203</v>
      </c>
      <c r="M88">
        <v>17464.75</v>
      </c>
    </row>
    <row r="89" spans="1:13" x14ac:dyDescent="0.3">
      <c r="A89" t="s">
        <v>168</v>
      </c>
      <c r="B89">
        <v>231.894334233503</v>
      </c>
      <c r="D89">
        <v>202204</v>
      </c>
      <c r="E89">
        <v>17102.55</v>
      </c>
      <c r="F89">
        <v>129.45753502894601</v>
      </c>
      <c r="L89">
        <v>202204</v>
      </c>
      <c r="M89">
        <v>17102.55</v>
      </c>
    </row>
    <row r="90" spans="1:13" x14ac:dyDescent="0.3">
      <c r="A90" t="s">
        <v>169</v>
      </c>
      <c r="B90">
        <v>76.381600565518298</v>
      </c>
      <c r="D90">
        <v>202205</v>
      </c>
      <c r="E90">
        <v>16584.55</v>
      </c>
      <c r="F90">
        <v>231.894334233503</v>
      </c>
      <c r="L90">
        <v>202205</v>
      </c>
      <c r="M90">
        <v>16584.55</v>
      </c>
    </row>
    <row r="91" spans="1:13" x14ac:dyDescent="0.3">
      <c r="A91" t="s">
        <v>170</v>
      </c>
      <c r="B91">
        <v>161.69635640422501</v>
      </c>
      <c r="D91">
        <v>202206</v>
      </c>
      <c r="E91">
        <v>15780.25</v>
      </c>
      <c r="F91">
        <v>76.381600565518298</v>
      </c>
      <c r="L91">
        <v>202206</v>
      </c>
      <c r="M91">
        <v>15780.25</v>
      </c>
    </row>
    <row r="92" spans="1:13" x14ac:dyDescent="0.3">
      <c r="A92" t="s">
        <v>171</v>
      </c>
      <c r="B92">
        <v>179.066241424845</v>
      </c>
      <c r="D92">
        <v>202207</v>
      </c>
      <c r="E92">
        <v>17158.25</v>
      </c>
      <c r="F92">
        <v>161.69635640422501</v>
      </c>
      <c r="L92">
        <v>202207</v>
      </c>
      <c r="M92">
        <v>17158.25</v>
      </c>
    </row>
    <row r="93" spans="1:13" x14ac:dyDescent="0.3">
      <c r="A93" t="s">
        <v>172</v>
      </c>
      <c r="B93">
        <v>54.753801172667004</v>
      </c>
      <c r="D93">
        <v>202208</v>
      </c>
      <c r="E93">
        <v>17759.3</v>
      </c>
      <c r="F93">
        <v>179.066241424845</v>
      </c>
      <c r="L93">
        <v>202208</v>
      </c>
      <c r="M93">
        <v>17759.3</v>
      </c>
    </row>
    <row r="94" spans="1:13" x14ac:dyDescent="0.3">
      <c r="A94" t="s">
        <v>173</v>
      </c>
      <c r="B94">
        <v>245.98340694372399</v>
      </c>
      <c r="D94">
        <v>202209</v>
      </c>
      <c r="E94">
        <v>17094.349999999999</v>
      </c>
      <c r="F94">
        <v>54.753801172667004</v>
      </c>
      <c r="L94">
        <v>202209</v>
      </c>
      <c r="M94">
        <v>17094.349999999999</v>
      </c>
    </row>
    <row r="95" spans="1:13" x14ac:dyDescent="0.3">
      <c r="A95" t="s">
        <v>174</v>
      </c>
      <c r="B95">
        <v>192.56589587774101</v>
      </c>
      <c r="D95">
        <v>202210</v>
      </c>
      <c r="E95">
        <v>18012.2</v>
      </c>
      <c r="F95">
        <v>245.98340694372399</v>
      </c>
      <c r="L95">
        <v>202210</v>
      </c>
      <c r="M95">
        <v>18012.2</v>
      </c>
    </row>
    <row r="96" spans="1:13" x14ac:dyDescent="0.3">
      <c r="A96" t="s">
        <v>175</v>
      </c>
      <c r="B96">
        <v>-5.6557470356709398</v>
      </c>
      <c r="D96">
        <v>202211</v>
      </c>
      <c r="E96">
        <v>18758.349999999999</v>
      </c>
      <c r="F96">
        <v>192.56589587774101</v>
      </c>
      <c r="L96">
        <v>202211</v>
      </c>
      <c r="M96">
        <v>18758.349999999999</v>
      </c>
    </row>
    <row r="97" spans="1:13" x14ac:dyDescent="0.3">
      <c r="A97" t="s">
        <v>176</v>
      </c>
      <c r="B97">
        <v>251.625825845988</v>
      </c>
      <c r="D97">
        <v>202212</v>
      </c>
      <c r="E97">
        <v>18105.3</v>
      </c>
      <c r="F97">
        <v>-5.6557470356709398</v>
      </c>
      <c r="L97">
        <v>202212</v>
      </c>
      <c r="M97">
        <v>18105.3</v>
      </c>
    </row>
    <row r="98" spans="1:13" x14ac:dyDescent="0.3">
      <c r="A98" t="s">
        <v>177</v>
      </c>
      <c r="B98">
        <v>141.60710657266901</v>
      </c>
      <c r="D98">
        <v>202301</v>
      </c>
      <c r="E98">
        <v>17662.150000000001</v>
      </c>
      <c r="F98">
        <v>251.625825845988</v>
      </c>
      <c r="L98">
        <v>202301</v>
      </c>
      <c r="M98">
        <v>17662.150000000001</v>
      </c>
    </row>
    <row r="99" spans="1:13" x14ac:dyDescent="0.3">
      <c r="A99" t="s">
        <v>178</v>
      </c>
      <c r="B99">
        <v>151.69634160964199</v>
      </c>
      <c r="D99">
        <v>202302</v>
      </c>
      <c r="E99">
        <v>17303.95</v>
      </c>
      <c r="F99">
        <v>141.60710657266901</v>
      </c>
      <c r="L99">
        <v>202302</v>
      </c>
      <c r="M99">
        <v>17303.95</v>
      </c>
    </row>
    <row r="100" spans="1:13" x14ac:dyDescent="0.3">
      <c r="A100" t="s">
        <v>179</v>
      </c>
      <c r="B100">
        <v>223.38358367961601</v>
      </c>
      <c r="D100">
        <v>202303</v>
      </c>
      <c r="E100">
        <v>17359.75</v>
      </c>
      <c r="F100">
        <v>151.69634160964199</v>
      </c>
      <c r="L100">
        <v>202303</v>
      </c>
      <c r="M100">
        <v>17359.75</v>
      </c>
    </row>
    <row r="101" spans="1:13" x14ac:dyDescent="0.3">
      <c r="A101" t="s">
        <v>180</v>
      </c>
      <c r="B101">
        <v>83.735852627223693</v>
      </c>
      <c r="D101">
        <v>202304</v>
      </c>
      <c r="E101">
        <v>18065</v>
      </c>
      <c r="F101">
        <v>223.38358367961601</v>
      </c>
      <c r="L101">
        <v>202304</v>
      </c>
      <c r="M101">
        <v>18065</v>
      </c>
    </row>
    <row r="102" spans="1:13" x14ac:dyDescent="0.3">
      <c r="A102" t="s">
        <v>181</v>
      </c>
      <c r="B102">
        <v>146.46331152246901</v>
      </c>
      <c r="D102">
        <v>202305</v>
      </c>
      <c r="E102">
        <v>18534.400000000001</v>
      </c>
      <c r="F102">
        <v>83.735852627223693</v>
      </c>
      <c r="L102">
        <v>202305</v>
      </c>
      <c r="M102">
        <v>18534.400000000001</v>
      </c>
    </row>
    <row r="103" spans="1:13" x14ac:dyDescent="0.3">
      <c r="A103" t="s">
        <v>182</v>
      </c>
      <c r="B103">
        <v>225.000027945032</v>
      </c>
      <c r="D103">
        <v>202306</v>
      </c>
      <c r="E103">
        <v>19189.05</v>
      </c>
      <c r="F103">
        <v>146.46331152246901</v>
      </c>
      <c r="L103">
        <v>202306</v>
      </c>
      <c r="M103">
        <v>19189.05</v>
      </c>
    </row>
    <row r="104" spans="1:13" x14ac:dyDescent="0.3">
      <c r="A104" t="s">
        <v>183</v>
      </c>
      <c r="B104">
        <v>124.497147605897</v>
      </c>
      <c r="D104">
        <v>202307</v>
      </c>
      <c r="E104">
        <v>19753.8</v>
      </c>
      <c r="F104">
        <v>225.000027945032</v>
      </c>
      <c r="L104">
        <v>202307</v>
      </c>
      <c r="M104">
        <v>19753.8</v>
      </c>
    </row>
    <row r="105" spans="1:13" x14ac:dyDescent="0.3">
      <c r="A105" t="s">
        <v>184</v>
      </c>
      <c r="B105">
        <v>181.132682053514</v>
      </c>
      <c r="D105">
        <v>202308</v>
      </c>
      <c r="E105">
        <v>19253.8</v>
      </c>
      <c r="F105">
        <v>124.497147605897</v>
      </c>
      <c r="L105">
        <v>202308</v>
      </c>
      <c r="M105">
        <v>19253.8</v>
      </c>
    </row>
    <row r="106" spans="1:13" x14ac:dyDescent="0.3">
      <c r="A106" t="s">
        <v>185</v>
      </c>
      <c r="B106">
        <v>187.155744016862</v>
      </c>
      <c r="D106">
        <v>202309</v>
      </c>
      <c r="E106">
        <v>19638.3</v>
      </c>
      <c r="F106">
        <v>181.132682053514</v>
      </c>
      <c r="L106">
        <v>202309</v>
      </c>
      <c r="M106">
        <v>19638.3</v>
      </c>
    </row>
    <row r="107" spans="1:13" x14ac:dyDescent="0.3">
      <c r="A107" t="s">
        <v>186</v>
      </c>
      <c r="B107">
        <v>182.12886208871299</v>
      </c>
      <c r="D107">
        <v>202310</v>
      </c>
      <c r="E107">
        <v>19079.599999999999</v>
      </c>
      <c r="F107">
        <v>187.155744016862</v>
      </c>
      <c r="L107">
        <v>202310</v>
      </c>
      <c r="M107">
        <v>19079.599999999999</v>
      </c>
    </row>
    <row r="108" spans="1:13" x14ac:dyDescent="0.3">
      <c r="A108" t="s">
        <v>187</v>
      </c>
      <c r="B108">
        <v>183.545371206081</v>
      </c>
      <c r="D108">
        <v>202311</v>
      </c>
      <c r="E108">
        <v>20133.150000000001</v>
      </c>
      <c r="F108">
        <v>182.12886208871299</v>
      </c>
      <c r="L108">
        <v>202311</v>
      </c>
      <c r="M108">
        <v>20133.150000000001</v>
      </c>
    </row>
    <row r="109" spans="1:13" x14ac:dyDescent="0.3">
      <c r="A109" t="s">
        <v>188</v>
      </c>
      <c r="B109">
        <v>216.10781280966901</v>
      </c>
      <c r="D109">
        <v>202312</v>
      </c>
      <c r="E109">
        <v>21731.4</v>
      </c>
      <c r="F109">
        <v>183.545371206081</v>
      </c>
      <c r="L109">
        <v>202312</v>
      </c>
      <c r="M109">
        <v>21731.4</v>
      </c>
    </row>
    <row r="110" spans="1:13" x14ac:dyDescent="0.3">
      <c r="A110" t="s">
        <v>189</v>
      </c>
      <c r="B110">
        <v>174.660044234162</v>
      </c>
      <c r="D110">
        <v>202401</v>
      </c>
      <c r="E110">
        <v>21725.7</v>
      </c>
      <c r="F110">
        <v>216.10781280966901</v>
      </c>
      <c r="L110">
        <v>202401</v>
      </c>
      <c r="M110">
        <v>21725.7</v>
      </c>
    </row>
    <row r="111" spans="1:13" x14ac:dyDescent="0.3">
      <c r="A111" t="s">
        <v>190</v>
      </c>
      <c r="B111">
        <v>169.764295252582</v>
      </c>
      <c r="D111">
        <v>202402</v>
      </c>
      <c r="E111">
        <v>21982.799999999999</v>
      </c>
      <c r="F111">
        <v>174.660044234162</v>
      </c>
      <c r="L111">
        <v>202402</v>
      </c>
      <c r="M111">
        <v>21982.799999999999</v>
      </c>
    </row>
    <row r="112" spans="1:13" x14ac:dyDescent="0.3">
      <c r="A112" t="s">
        <v>191</v>
      </c>
      <c r="B112">
        <v>212.17852872866399</v>
      </c>
      <c r="D112">
        <v>202403</v>
      </c>
      <c r="E112">
        <v>22326.9</v>
      </c>
      <c r="F112">
        <v>169.764295252582</v>
      </c>
      <c r="L112">
        <v>202403</v>
      </c>
      <c r="M112">
        <v>22326.9</v>
      </c>
    </row>
    <row r="113" spans="1:13" x14ac:dyDescent="0.3">
      <c r="A113" t="s">
        <v>192</v>
      </c>
      <c r="B113">
        <v>129.890489712777</v>
      </c>
      <c r="D113">
        <v>202404</v>
      </c>
      <c r="E113">
        <v>22604.85</v>
      </c>
      <c r="F113">
        <v>212.17852872866399</v>
      </c>
      <c r="L113">
        <v>202404</v>
      </c>
      <c r="M113">
        <v>22604.85</v>
      </c>
    </row>
    <row r="114" spans="1:13" x14ac:dyDescent="0.3">
      <c r="A114" t="s">
        <v>193</v>
      </c>
      <c r="B114">
        <v>148.62464162432701</v>
      </c>
      <c r="D114">
        <v>202405</v>
      </c>
      <c r="E114">
        <v>22530.7</v>
      </c>
      <c r="F114">
        <v>129.890489712777</v>
      </c>
      <c r="L114">
        <v>202405</v>
      </c>
      <c r="M114">
        <v>22530.7</v>
      </c>
    </row>
    <row r="115" spans="1:13" x14ac:dyDescent="0.3">
      <c r="A115" t="s">
        <v>194</v>
      </c>
      <c r="B115">
        <v>239.856595492065</v>
      </c>
      <c r="D115">
        <v>202406</v>
      </c>
      <c r="E115">
        <v>24010.6</v>
      </c>
      <c r="F115">
        <v>148.62464162432701</v>
      </c>
      <c r="L115">
        <v>202406</v>
      </c>
      <c r="M115">
        <v>24010.6</v>
      </c>
    </row>
    <row r="116" spans="1:13" x14ac:dyDescent="0.3">
      <c r="A116" t="s">
        <v>195</v>
      </c>
      <c r="B116">
        <v>114.573159484416</v>
      </c>
      <c r="D116">
        <v>202407</v>
      </c>
      <c r="E116">
        <v>24951.15</v>
      </c>
      <c r="F116">
        <v>239.856595492065</v>
      </c>
      <c r="L116">
        <v>202407</v>
      </c>
      <c r="M116">
        <v>24951.15</v>
      </c>
    </row>
    <row r="117" spans="1:13" x14ac:dyDescent="0.3">
      <c r="A117" t="s">
        <v>196</v>
      </c>
      <c r="B117">
        <v>173.87669058115799</v>
      </c>
      <c r="D117">
        <v>202408</v>
      </c>
      <c r="E117">
        <v>25235.9</v>
      </c>
      <c r="F117">
        <v>114.573159484416</v>
      </c>
      <c r="L117">
        <v>202408</v>
      </c>
      <c r="M117">
        <v>25235.9</v>
      </c>
    </row>
    <row r="118" spans="1:13" x14ac:dyDescent="0.3">
      <c r="A118" t="s">
        <v>197</v>
      </c>
      <c r="B118">
        <v>176.110883785109</v>
      </c>
      <c r="D118">
        <v>202409</v>
      </c>
      <c r="E118">
        <v>25810.85</v>
      </c>
      <c r="F118">
        <v>173.87669058115799</v>
      </c>
      <c r="L118">
        <v>202409</v>
      </c>
      <c r="M118">
        <v>25810.85</v>
      </c>
    </row>
    <row r="119" spans="1:13" x14ac:dyDescent="0.3">
      <c r="A119" t="s">
        <v>198</v>
      </c>
      <c r="B119">
        <v>116.54023302326399</v>
      </c>
      <c r="D119">
        <v>202410</v>
      </c>
      <c r="E119">
        <v>24205.35</v>
      </c>
      <c r="F119">
        <v>176.110883785109</v>
      </c>
      <c r="L119">
        <v>202410</v>
      </c>
      <c r="M119">
        <v>24205.35</v>
      </c>
    </row>
    <row r="120" spans="1:13" x14ac:dyDescent="0.3">
      <c r="A120" t="s">
        <v>199</v>
      </c>
      <c r="B120">
        <v>217.073355999835</v>
      </c>
      <c r="D120">
        <v>202411</v>
      </c>
      <c r="E120">
        <v>24131.1</v>
      </c>
      <c r="F120">
        <v>116.54023302326399</v>
      </c>
      <c r="L120">
        <v>202411</v>
      </c>
      <c r="M120">
        <v>24131.1</v>
      </c>
    </row>
    <row r="121" spans="1:13" x14ac:dyDescent="0.3">
      <c r="A121" t="s">
        <v>200</v>
      </c>
      <c r="B121">
        <v>181.807065242611</v>
      </c>
      <c r="D121">
        <v>202412</v>
      </c>
      <c r="E121">
        <v>23644.799999999999</v>
      </c>
      <c r="F121">
        <v>217.073355999835</v>
      </c>
      <c r="L121">
        <v>202412</v>
      </c>
      <c r="M121">
        <v>23644.799999999999</v>
      </c>
    </row>
    <row r="122" spans="1:13" x14ac:dyDescent="0.3">
      <c r="A122" t="s">
        <v>201</v>
      </c>
      <c r="B122">
        <v>97.6532202358311</v>
      </c>
      <c r="D122">
        <v>202501</v>
      </c>
      <c r="E122">
        <v>23508.400000000001</v>
      </c>
      <c r="F122">
        <v>181.807065242611</v>
      </c>
      <c r="L122">
        <v>202501</v>
      </c>
      <c r="M122">
        <v>23508.400000000001</v>
      </c>
    </row>
    <row r="123" spans="1:13" x14ac:dyDescent="0.3">
      <c r="A123" t="s">
        <v>202</v>
      </c>
      <c r="B123">
        <v>206.44637002661199</v>
      </c>
      <c r="D123">
        <v>202502</v>
      </c>
      <c r="E123">
        <v>22124.7</v>
      </c>
      <c r="F123">
        <v>97.6532202358311</v>
      </c>
      <c r="L123">
        <v>202502</v>
      </c>
      <c r="M123">
        <v>22124.7</v>
      </c>
    </row>
    <row r="124" spans="1:13" x14ac:dyDescent="0.3">
      <c r="A124" t="s">
        <v>203</v>
      </c>
      <c r="B124">
        <v>155.78750902633601</v>
      </c>
      <c r="D124">
        <v>202503</v>
      </c>
      <c r="E124">
        <v>23519.35</v>
      </c>
      <c r="F124">
        <v>206.44637002661199</v>
      </c>
      <c r="L124">
        <v>202503</v>
      </c>
      <c r="M124">
        <v>23519.35</v>
      </c>
    </row>
    <row r="125" spans="1:13" x14ac:dyDescent="0.3">
      <c r="A125" t="s">
        <v>204</v>
      </c>
      <c r="B125">
        <v>157.03593515079001</v>
      </c>
      <c r="D125">
        <v>202504</v>
      </c>
      <c r="E125">
        <v>24334.2</v>
      </c>
      <c r="F125">
        <v>155.78750902633601</v>
      </c>
      <c r="L125">
        <v>202504</v>
      </c>
      <c r="M125">
        <v>24334.2</v>
      </c>
    </row>
    <row r="126" spans="1:13" x14ac:dyDescent="0.3">
      <c r="A126" t="s">
        <v>205</v>
      </c>
      <c r="B126">
        <v>180.39043398149499</v>
      </c>
      <c r="D126">
        <v>202505</v>
      </c>
      <c r="E126">
        <v>24750.7</v>
      </c>
      <c r="F126">
        <v>157.03593515079001</v>
      </c>
      <c r="L126">
        <v>202505</v>
      </c>
      <c r="M126">
        <v>24750.7</v>
      </c>
    </row>
    <row r="127" spans="1:13" x14ac:dyDescent="0.3">
      <c r="A127" t="s">
        <v>206</v>
      </c>
      <c r="B127">
        <v>137.43236331352199</v>
      </c>
      <c r="D127">
        <v>202506</v>
      </c>
      <c r="E127">
        <v>25517.05</v>
      </c>
      <c r="F127">
        <v>180.39043398149499</v>
      </c>
      <c r="L127">
        <v>202506</v>
      </c>
      <c r="M127">
        <v>25517.05</v>
      </c>
    </row>
    <row r="128" spans="1:13" x14ac:dyDescent="0.3">
      <c r="A128" t="s">
        <v>207</v>
      </c>
      <c r="B128">
        <v>146.673538677442</v>
      </c>
      <c r="D128">
        <v>202507</v>
      </c>
      <c r="E128">
        <v>24768.35</v>
      </c>
      <c r="F128">
        <v>137.43236331352199</v>
      </c>
      <c r="L128">
        <v>202507</v>
      </c>
      <c r="M128">
        <v>24768.35</v>
      </c>
    </row>
    <row r="129" spans="1:14" x14ac:dyDescent="0.3">
      <c r="A129" t="s">
        <v>208</v>
      </c>
      <c r="B129">
        <v>183.14479241521201</v>
      </c>
      <c r="D129">
        <v>202508</v>
      </c>
      <c r="F129">
        <v>146.673538677442</v>
      </c>
      <c r="G129">
        <f>E128+F128</f>
        <v>24905.782363313519</v>
      </c>
      <c r="L129">
        <v>202508</v>
      </c>
      <c r="N129">
        <v>24905.782363313519</v>
      </c>
    </row>
    <row r="130" spans="1:14" x14ac:dyDescent="0.3">
      <c r="A130" t="s">
        <v>209</v>
      </c>
      <c r="B130">
        <v>154.01989127360599</v>
      </c>
      <c r="D130">
        <v>202509</v>
      </c>
      <c r="F130">
        <v>183.14479241521201</v>
      </c>
      <c r="G130">
        <f>G129+F130</f>
        <v>25088.927155728732</v>
      </c>
      <c r="L130">
        <v>202509</v>
      </c>
      <c r="N130">
        <v>25088.927155728732</v>
      </c>
    </row>
    <row r="131" spans="1:14" x14ac:dyDescent="0.3">
      <c r="A131" t="s">
        <v>210</v>
      </c>
      <c r="B131">
        <v>158.421991544306</v>
      </c>
      <c r="D131">
        <v>202510</v>
      </c>
      <c r="F131">
        <v>154.01989127360599</v>
      </c>
      <c r="G131">
        <f t="shared" ref="G131:G145" si="0">G130+F131</f>
        <v>25242.947047002337</v>
      </c>
      <c r="L131">
        <v>202510</v>
      </c>
      <c r="N131">
        <v>25242.947047002337</v>
      </c>
    </row>
    <row r="132" spans="1:14" x14ac:dyDescent="0.3">
      <c r="A132" t="s">
        <v>211</v>
      </c>
      <c r="B132">
        <v>185.17883340758499</v>
      </c>
      <c r="D132">
        <v>202511</v>
      </c>
      <c r="F132">
        <v>158.421991544306</v>
      </c>
      <c r="G132">
        <f t="shared" si="0"/>
        <v>25401.369038546643</v>
      </c>
      <c r="L132">
        <v>202511</v>
      </c>
      <c r="N132">
        <v>25401.369038546643</v>
      </c>
    </row>
    <row r="133" spans="1:14" x14ac:dyDescent="0.3">
      <c r="A133" t="s">
        <v>212</v>
      </c>
      <c r="B133">
        <v>177.973914960868</v>
      </c>
      <c r="D133">
        <v>202512</v>
      </c>
      <c r="F133">
        <v>185.17883340758499</v>
      </c>
      <c r="G133">
        <f t="shared" si="0"/>
        <v>25586.54787195423</v>
      </c>
      <c r="L133">
        <v>202512</v>
      </c>
      <c r="N133">
        <v>25586.54787195423</v>
      </c>
    </row>
    <row r="134" spans="1:14" x14ac:dyDescent="0.3">
      <c r="A134" t="s">
        <v>213</v>
      </c>
      <c r="B134">
        <v>150.77391905243701</v>
      </c>
      <c r="D134">
        <v>202601</v>
      </c>
      <c r="F134">
        <v>177.973914960868</v>
      </c>
      <c r="G134">
        <f t="shared" si="0"/>
        <v>25764.521786915098</v>
      </c>
      <c r="L134">
        <v>202601</v>
      </c>
      <c r="N134">
        <v>25764.521786915098</v>
      </c>
    </row>
    <row r="135" spans="1:14" x14ac:dyDescent="0.3">
      <c r="A135" t="s">
        <v>214</v>
      </c>
      <c r="B135">
        <v>198.63520237835201</v>
      </c>
      <c r="D135">
        <v>202602</v>
      </c>
      <c r="F135">
        <v>150.77391905243701</v>
      </c>
      <c r="G135">
        <f t="shared" si="0"/>
        <v>25915.295705967535</v>
      </c>
      <c r="L135">
        <v>202602</v>
      </c>
      <c r="N135">
        <v>25915.295705967535</v>
      </c>
    </row>
    <row r="136" spans="1:14" x14ac:dyDescent="0.3">
      <c r="A136" t="s">
        <v>215</v>
      </c>
      <c r="B136">
        <v>168.051243538991</v>
      </c>
      <c r="D136">
        <v>202603</v>
      </c>
      <c r="F136">
        <v>198.63520237835201</v>
      </c>
      <c r="G136">
        <f t="shared" si="0"/>
        <v>26113.930908345887</v>
      </c>
      <c r="L136">
        <v>202603</v>
      </c>
      <c r="N136">
        <v>26113.930908345887</v>
      </c>
    </row>
    <row r="137" spans="1:14" x14ac:dyDescent="0.3">
      <c r="A137" t="s">
        <v>216</v>
      </c>
      <c r="B137">
        <v>-165.88</v>
      </c>
      <c r="D137">
        <v>202604</v>
      </c>
      <c r="F137">
        <v>168.051243538991</v>
      </c>
      <c r="G137">
        <f t="shared" si="0"/>
        <v>26281.982151884877</v>
      </c>
      <c r="L137">
        <v>202604</v>
      </c>
      <c r="N137">
        <v>26281.982151884877</v>
      </c>
    </row>
    <row r="138" spans="1:14" x14ac:dyDescent="0.3">
      <c r="A138" t="s">
        <v>217</v>
      </c>
      <c r="B138">
        <v>196.84279076604699</v>
      </c>
      <c r="D138">
        <v>202605</v>
      </c>
      <c r="F138">
        <v>165.88359720145701</v>
      </c>
      <c r="G138">
        <f t="shared" si="0"/>
        <v>26447.865749086333</v>
      </c>
      <c r="L138">
        <v>202605</v>
      </c>
      <c r="N138">
        <v>26447.865749086333</v>
      </c>
    </row>
    <row r="139" spans="1:14" x14ac:dyDescent="0.3">
      <c r="A139" t="s">
        <v>218</v>
      </c>
      <c r="B139">
        <v>141.33393082753</v>
      </c>
      <c r="D139">
        <v>202606</v>
      </c>
      <c r="F139">
        <v>196.84279076604699</v>
      </c>
      <c r="G139">
        <f t="shared" si="0"/>
        <v>26644.708539852381</v>
      </c>
      <c r="L139">
        <v>202606</v>
      </c>
      <c r="N139">
        <v>26644.708539852381</v>
      </c>
    </row>
    <row r="140" spans="1:14" x14ac:dyDescent="0.3">
      <c r="A140" t="s">
        <v>219</v>
      </c>
      <c r="B140">
        <v>-152.36000000000001</v>
      </c>
      <c r="D140">
        <v>202607</v>
      </c>
      <c r="F140">
        <v>141.33393082753</v>
      </c>
      <c r="G140">
        <f t="shared" si="0"/>
        <v>26786.042470679913</v>
      </c>
      <c r="L140">
        <v>202607</v>
      </c>
      <c r="N140">
        <v>26786.042470679913</v>
      </c>
    </row>
    <row r="141" spans="1:14" x14ac:dyDescent="0.3">
      <c r="A141" t="s">
        <v>220</v>
      </c>
      <c r="B141">
        <v>210.99231686451401</v>
      </c>
      <c r="D141">
        <v>202608</v>
      </c>
      <c r="F141">
        <v>157.72041581040099</v>
      </c>
      <c r="G141">
        <f t="shared" si="0"/>
        <v>26943.762886490313</v>
      </c>
      <c r="L141">
        <v>202608</v>
      </c>
      <c r="N141">
        <v>26943.762886490313</v>
      </c>
    </row>
    <row r="142" spans="1:14" x14ac:dyDescent="0.3">
      <c r="A142" t="s">
        <v>221</v>
      </c>
      <c r="B142">
        <v>139.887701855578</v>
      </c>
      <c r="D142">
        <v>202609</v>
      </c>
      <c r="F142">
        <v>210.99231686451401</v>
      </c>
      <c r="G142">
        <f t="shared" si="0"/>
        <v>27154.755203354827</v>
      </c>
      <c r="L142">
        <v>202609</v>
      </c>
      <c r="N142">
        <v>27154.755203354827</v>
      </c>
    </row>
    <row r="143" spans="1:14" x14ac:dyDescent="0.3">
      <c r="A143" t="s">
        <v>222</v>
      </c>
      <c r="B143">
        <v>-173.22</v>
      </c>
      <c r="D143">
        <v>202610</v>
      </c>
      <c r="F143">
        <v>139.887701855578</v>
      </c>
      <c r="G143">
        <f t="shared" si="0"/>
        <v>27294.642905210407</v>
      </c>
      <c r="L143">
        <v>202610</v>
      </c>
      <c r="N143">
        <v>27294.642905210407</v>
      </c>
    </row>
    <row r="144" spans="1:14" x14ac:dyDescent="0.3">
      <c r="A144" t="s">
        <v>223</v>
      </c>
      <c r="B144">
        <v>173.59364299853499</v>
      </c>
      <c r="D144">
        <v>202611</v>
      </c>
      <c r="F144">
        <v>173.29134041545501</v>
      </c>
      <c r="G144">
        <f t="shared" si="0"/>
        <v>27467.93424562586</v>
      </c>
      <c r="L144">
        <v>202611</v>
      </c>
      <c r="N144">
        <v>27467.93424562586</v>
      </c>
    </row>
    <row r="145" spans="4:14" x14ac:dyDescent="0.3">
      <c r="D145">
        <v>202612</v>
      </c>
      <c r="F145">
        <v>173.59364299853499</v>
      </c>
      <c r="G145">
        <f t="shared" si="0"/>
        <v>27641.527888624394</v>
      </c>
      <c r="L145">
        <v>202612</v>
      </c>
      <c r="N145">
        <v>27641.527888624394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C8E9-2C01-4AA8-8325-69ECCC9A77EB}">
  <dimension ref="A1:V145"/>
  <sheetViews>
    <sheetView zoomScale="85" zoomScaleNormal="85" workbookViewId="0">
      <selection activeCell="K28" sqref="K28"/>
    </sheetView>
  </sheetViews>
  <sheetFormatPr defaultRowHeight="14.4" x14ac:dyDescent="0.3"/>
  <cols>
    <col min="12" max="12" width="7.21875" bestFit="1" customWidth="1"/>
    <col min="13" max="14" width="12.44140625" bestFit="1" customWidth="1"/>
  </cols>
  <sheetData>
    <row r="1" spans="1:14" x14ac:dyDescent="0.3">
      <c r="A1" t="s">
        <v>80</v>
      </c>
      <c r="E1" t="s">
        <v>0</v>
      </c>
      <c r="F1" t="s">
        <v>1</v>
      </c>
      <c r="L1" s="19" t="s">
        <v>0</v>
      </c>
      <c r="M1" s="19" t="s">
        <v>1</v>
      </c>
      <c r="N1" s="19" t="s">
        <v>237</v>
      </c>
    </row>
    <row r="2" spans="1:14" x14ac:dyDescent="0.3">
      <c r="A2" t="s">
        <v>81</v>
      </c>
      <c r="E2">
        <v>201501</v>
      </c>
      <c r="F2">
        <v>8808.900390625</v>
      </c>
      <c r="L2" s="21">
        <v>201501</v>
      </c>
      <c r="M2" s="21">
        <v>8808.900390625</v>
      </c>
      <c r="N2" s="20"/>
    </row>
    <row r="3" spans="1:14" x14ac:dyDescent="0.3">
      <c r="A3" t="s">
        <v>82</v>
      </c>
      <c r="E3">
        <v>201502</v>
      </c>
      <c r="F3">
        <v>8901.85</v>
      </c>
      <c r="L3" s="21">
        <v>201502</v>
      </c>
      <c r="M3" s="21">
        <v>8901.85</v>
      </c>
      <c r="N3" s="20"/>
    </row>
    <row r="4" spans="1:14" x14ac:dyDescent="0.3">
      <c r="A4" t="s">
        <v>83</v>
      </c>
      <c r="E4">
        <v>201503</v>
      </c>
      <c r="F4">
        <v>8491</v>
      </c>
      <c r="L4" s="21">
        <v>201503</v>
      </c>
      <c r="M4" s="21">
        <v>8491</v>
      </c>
      <c r="N4" s="20"/>
    </row>
    <row r="5" spans="1:14" x14ac:dyDescent="0.3">
      <c r="A5" t="s">
        <v>84</v>
      </c>
      <c r="E5">
        <v>201504</v>
      </c>
      <c r="F5">
        <v>8181.5</v>
      </c>
      <c r="L5" s="21">
        <v>201504</v>
      </c>
      <c r="M5" s="21">
        <v>8181.5</v>
      </c>
      <c r="N5" s="20"/>
    </row>
    <row r="6" spans="1:14" x14ac:dyDescent="0.3">
      <c r="A6" t="s">
        <v>85</v>
      </c>
      <c r="E6">
        <v>201505</v>
      </c>
      <c r="F6">
        <v>8433.65</v>
      </c>
      <c r="L6" s="21">
        <v>201505</v>
      </c>
      <c r="M6" s="21">
        <v>8433.65</v>
      </c>
      <c r="N6" s="20"/>
    </row>
    <row r="7" spans="1:14" x14ac:dyDescent="0.3">
      <c r="A7" t="s">
        <v>86</v>
      </c>
      <c r="E7">
        <v>201506</v>
      </c>
      <c r="F7">
        <v>8368.5</v>
      </c>
      <c r="L7" s="21">
        <v>201506</v>
      </c>
      <c r="M7" s="21">
        <v>8368.5</v>
      </c>
      <c r="N7" s="20"/>
    </row>
    <row r="8" spans="1:14" x14ac:dyDescent="0.3">
      <c r="A8" t="s">
        <v>87</v>
      </c>
      <c r="E8">
        <v>201507</v>
      </c>
      <c r="F8">
        <v>8532.85</v>
      </c>
      <c r="L8" s="21">
        <v>201507</v>
      </c>
      <c r="M8" s="21">
        <v>8532.85</v>
      </c>
      <c r="N8" s="20"/>
    </row>
    <row r="9" spans="1:14" x14ac:dyDescent="0.3">
      <c r="A9" t="s">
        <v>88</v>
      </c>
      <c r="E9">
        <v>201508</v>
      </c>
      <c r="F9">
        <v>7971.3</v>
      </c>
      <c r="L9" s="21">
        <v>201508</v>
      </c>
      <c r="M9" s="21">
        <v>7971.3</v>
      </c>
      <c r="N9" s="20"/>
    </row>
    <row r="10" spans="1:14" x14ac:dyDescent="0.3">
      <c r="A10" t="s">
        <v>89</v>
      </c>
      <c r="E10">
        <v>201509</v>
      </c>
      <c r="F10">
        <v>7948.9</v>
      </c>
      <c r="L10" s="21">
        <v>201509</v>
      </c>
      <c r="M10" s="21">
        <v>7948.9</v>
      </c>
      <c r="N10" s="20"/>
    </row>
    <row r="11" spans="1:14" x14ac:dyDescent="0.3">
      <c r="A11" t="s">
        <v>90</v>
      </c>
      <c r="E11">
        <v>201510</v>
      </c>
      <c r="F11">
        <v>8065.8</v>
      </c>
      <c r="L11" s="21">
        <v>201510</v>
      </c>
      <c r="M11" s="21">
        <v>8065.8</v>
      </c>
      <c r="N11" s="20"/>
    </row>
    <row r="12" spans="1:14" x14ac:dyDescent="0.3">
      <c r="A12" t="s">
        <v>91</v>
      </c>
      <c r="E12">
        <v>201511</v>
      </c>
      <c r="F12">
        <v>7935.25</v>
      </c>
      <c r="L12" s="21">
        <v>201511</v>
      </c>
      <c r="M12" s="21">
        <v>7935.25</v>
      </c>
      <c r="N12" s="20"/>
    </row>
    <row r="13" spans="1:14" x14ac:dyDescent="0.3">
      <c r="A13" t="s">
        <v>92</v>
      </c>
      <c r="E13">
        <v>201512</v>
      </c>
      <c r="F13">
        <v>7946.35</v>
      </c>
      <c r="L13" s="21">
        <v>201512</v>
      </c>
      <c r="M13" s="21">
        <v>7946.35</v>
      </c>
      <c r="N13" s="20"/>
    </row>
    <row r="14" spans="1:14" x14ac:dyDescent="0.3">
      <c r="A14" t="s">
        <v>93</v>
      </c>
      <c r="E14">
        <v>201601</v>
      </c>
      <c r="F14">
        <v>7563.55</v>
      </c>
      <c r="L14" s="21">
        <v>201601</v>
      </c>
      <c r="M14" s="21">
        <v>7563.55</v>
      </c>
      <c r="N14" s="20"/>
    </row>
    <row r="15" spans="1:14" x14ac:dyDescent="0.3">
      <c r="A15" t="s">
        <v>94</v>
      </c>
      <c r="E15">
        <v>201602</v>
      </c>
      <c r="F15">
        <v>6987.05</v>
      </c>
      <c r="L15" s="21">
        <v>201602</v>
      </c>
      <c r="M15" s="21">
        <v>6987.05</v>
      </c>
      <c r="N15" s="20"/>
    </row>
    <row r="16" spans="1:14" x14ac:dyDescent="0.3">
      <c r="A16" t="s">
        <v>95</v>
      </c>
      <c r="E16">
        <v>201603</v>
      </c>
      <c r="F16">
        <v>7738.4</v>
      </c>
      <c r="L16" s="21">
        <v>201603</v>
      </c>
      <c r="M16" s="21">
        <v>7738.4</v>
      </c>
      <c r="N16" s="20"/>
    </row>
    <row r="17" spans="1:14" x14ac:dyDescent="0.3">
      <c r="A17" t="s">
        <v>96</v>
      </c>
      <c r="E17">
        <v>201604</v>
      </c>
      <c r="F17">
        <v>7849.7998046875</v>
      </c>
      <c r="L17" s="21">
        <v>201604</v>
      </c>
      <c r="M17" s="21">
        <v>7849.7998046875</v>
      </c>
      <c r="N17" s="20"/>
    </row>
    <row r="18" spans="1:14" x14ac:dyDescent="0.3">
      <c r="A18" t="s">
        <v>97</v>
      </c>
      <c r="E18">
        <v>201605</v>
      </c>
      <c r="F18">
        <v>8160.10009765625</v>
      </c>
      <c r="L18" s="21">
        <v>201605</v>
      </c>
      <c r="M18" s="21">
        <v>8160.10009765625</v>
      </c>
      <c r="N18" s="20"/>
    </row>
    <row r="19" spans="1:14" x14ac:dyDescent="0.3">
      <c r="A19" t="s">
        <v>98</v>
      </c>
      <c r="E19">
        <v>201606</v>
      </c>
      <c r="F19">
        <v>8287.75</v>
      </c>
      <c r="L19" s="21">
        <v>201606</v>
      </c>
      <c r="M19" s="21">
        <v>8287.75</v>
      </c>
      <c r="N19" s="20"/>
    </row>
    <row r="20" spans="1:14" x14ac:dyDescent="0.3">
      <c r="A20" t="s">
        <v>99</v>
      </c>
      <c r="E20">
        <v>201607</v>
      </c>
      <c r="F20">
        <v>8638.5</v>
      </c>
      <c r="L20" s="21">
        <v>201607</v>
      </c>
      <c r="M20" s="21">
        <v>8638.5</v>
      </c>
      <c r="N20" s="20"/>
    </row>
    <row r="21" spans="1:14" x14ac:dyDescent="0.3">
      <c r="A21" t="s">
        <v>100</v>
      </c>
      <c r="E21">
        <v>201608</v>
      </c>
      <c r="F21">
        <v>8786.2001953125</v>
      </c>
      <c r="L21" s="21">
        <v>201608</v>
      </c>
      <c r="M21" s="21">
        <v>8786.2001953125</v>
      </c>
      <c r="N21" s="20"/>
    </row>
    <row r="22" spans="1:14" x14ac:dyDescent="0.3">
      <c r="A22" t="s">
        <v>101</v>
      </c>
      <c r="E22">
        <v>201609</v>
      </c>
      <c r="F22">
        <v>8611.150390625</v>
      </c>
      <c r="L22" s="21">
        <v>201609</v>
      </c>
      <c r="M22" s="21">
        <v>8611.150390625</v>
      </c>
      <c r="N22" s="20"/>
    </row>
    <row r="23" spans="1:14" x14ac:dyDescent="0.3">
      <c r="A23" t="s">
        <v>102</v>
      </c>
      <c r="E23">
        <v>201610</v>
      </c>
      <c r="F23">
        <v>8625.7001953125</v>
      </c>
      <c r="L23" s="21">
        <v>201610</v>
      </c>
      <c r="M23" s="21">
        <v>8625.7001953125</v>
      </c>
      <c r="N23" s="20"/>
    </row>
    <row r="24" spans="1:14" x14ac:dyDescent="0.3">
      <c r="A24" t="s">
        <v>103</v>
      </c>
      <c r="E24">
        <v>201611</v>
      </c>
      <c r="F24">
        <v>8224.5</v>
      </c>
      <c r="L24" s="21">
        <v>201611</v>
      </c>
      <c r="M24" s="21">
        <v>8224.5</v>
      </c>
      <c r="N24" s="20"/>
    </row>
    <row r="25" spans="1:14" x14ac:dyDescent="0.3">
      <c r="A25" t="s">
        <v>104</v>
      </c>
      <c r="E25">
        <v>201612</v>
      </c>
      <c r="F25">
        <v>8185.7998046875</v>
      </c>
      <c r="L25" s="21">
        <v>201612</v>
      </c>
      <c r="M25" s="21">
        <v>8185.7998046875</v>
      </c>
      <c r="N25" s="20"/>
    </row>
    <row r="26" spans="1:14" x14ac:dyDescent="0.3">
      <c r="A26" t="s">
        <v>105</v>
      </c>
      <c r="E26">
        <v>201701</v>
      </c>
      <c r="F26">
        <v>8561.2998046875</v>
      </c>
      <c r="L26" s="21">
        <v>201701</v>
      </c>
      <c r="M26" s="21">
        <v>8561.2998046875</v>
      </c>
      <c r="N26" s="20"/>
    </row>
    <row r="27" spans="1:14" x14ac:dyDescent="0.3">
      <c r="A27" t="s">
        <v>106</v>
      </c>
      <c r="E27">
        <v>201702</v>
      </c>
      <c r="F27">
        <v>8879.599609375</v>
      </c>
      <c r="L27" s="21">
        <v>201702</v>
      </c>
      <c r="M27" s="21">
        <v>8879.599609375</v>
      </c>
      <c r="N27" s="20"/>
    </row>
    <row r="28" spans="1:14" x14ac:dyDescent="0.3">
      <c r="A28" t="s">
        <v>107</v>
      </c>
      <c r="E28">
        <v>201703</v>
      </c>
      <c r="F28">
        <v>9173.75</v>
      </c>
      <c r="L28" s="21">
        <v>201703</v>
      </c>
      <c r="M28" s="21">
        <v>9173.75</v>
      </c>
      <c r="N28" s="20"/>
    </row>
    <row r="29" spans="1:14" x14ac:dyDescent="0.3">
      <c r="A29" t="s">
        <v>108</v>
      </c>
      <c r="B29">
        <v>295.33946351581801</v>
      </c>
      <c r="E29">
        <v>201704</v>
      </c>
      <c r="F29">
        <v>9304.0498046875</v>
      </c>
      <c r="L29" s="21">
        <v>201704</v>
      </c>
      <c r="M29" s="21">
        <v>9304.0498046875</v>
      </c>
      <c r="N29" s="20"/>
    </row>
    <row r="30" spans="1:14" x14ac:dyDescent="0.3">
      <c r="A30" t="s">
        <v>109</v>
      </c>
      <c r="B30">
        <v>-98.266003365428602</v>
      </c>
      <c r="E30">
        <v>201705</v>
      </c>
      <c r="F30">
        <v>9621.25</v>
      </c>
      <c r="G30">
        <v>295.33946351581801</v>
      </c>
      <c r="L30" s="21">
        <v>201705</v>
      </c>
      <c r="M30" s="21">
        <v>9621.25</v>
      </c>
      <c r="N30" s="20"/>
    </row>
    <row r="31" spans="1:14" x14ac:dyDescent="0.3">
      <c r="A31" t="s">
        <v>110</v>
      </c>
      <c r="B31">
        <v>53.004315287392998</v>
      </c>
      <c r="E31">
        <v>201706</v>
      </c>
      <c r="F31">
        <v>9520.900390625</v>
      </c>
      <c r="G31">
        <v>-98.266003365428602</v>
      </c>
      <c r="L31" s="21">
        <v>201706</v>
      </c>
      <c r="M31" s="21">
        <v>9520.900390625</v>
      </c>
      <c r="N31" s="20"/>
    </row>
    <row r="32" spans="1:14" x14ac:dyDescent="0.3">
      <c r="A32" t="s">
        <v>111</v>
      </c>
      <c r="B32">
        <v>285.278043070178</v>
      </c>
      <c r="E32">
        <v>201707</v>
      </c>
      <c r="F32">
        <v>10077.099609375</v>
      </c>
      <c r="G32">
        <v>53.004315287392998</v>
      </c>
      <c r="L32" s="21">
        <v>201707</v>
      </c>
      <c r="M32" s="21">
        <v>10077.099609375</v>
      </c>
      <c r="N32" s="20"/>
    </row>
    <row r="33" spans="1:14" x14ac:dyDescent="0.3">
      <c r="A33" t="s">
        <v>112</v>
      </c>
      <c r="B33">
        <v>202.56882407773401</v>
      </c>
      <c r="E33">
        <v>201708</v>
      </c>
      <c r="F33">
        <v>9917.900390625</v>
      </c>
      <c r="G33">
        <v>285.278043070178</v>
      </c>
      <c r="L33" s="21">
        <v>201708</v>
      </c>
      <c r="M33" s="21">
        <v>9917.900390625</v>
      </c>
      <c r="N33" s="20"/>
    </row>
    <row r="34" spans="1:14" x14ac:dyDescent="0.3">
      <c r="A34" t="s">
        <v>113</v>
      </c>
      <c r="B34">
        <v>-76.888849563929099</v>
      </c>
      <c r="E34">
        <v>201709</v>
      </c>
      <c r="F34">
        <v>9788.599609375</v>
      </c>
      <c r="G34">
        <v>202.56882407773401</v>
      </c>
      <c r="L34" s="21">
        <v>201709</v>
      </c>
      <c r="M34" s="21">
        <v>9788.599609375</v>
      </c>
      <c r="N34" s="20"/>
    </row>
    <row r="35" spans="1:14" x14ac:dyDescent="0.3">
      <c r="A35" t="s">
        <v>114</v>
      </c>
      <c r="B35">
        <v>-49.098375853649202</v>
      </c>
      <c r="E35">
        <v>201710</v>
      </c>
      <c r="F35">
        <v>10335.2998046875</v>
      </c>
      <c r="G35">
        <v>-76.888849563929099</v>
      </c>
      <c r="L35" s="21">
        <v>201710</v>
      </c>
      <c r="M35" s="21">
        <v>10335.2998046875</v>
      </c>
      <c r="N35" s="20"/>
    </row>
    <row r="36" spans="1:14" x14ac:dyDescent="0.3">
      <c r="A36" t="s">
        <v>115</v>
      </c>
      <c r="B36">
        <v>385.77653652258402</v>
      </c>
      <c r="E36">
        <v>201711</v>
      </c>
      <c r="F36">
        <v>10226.5498046875</v>
      </c>
      <c r="G36">
        <v>-49.098375853649202</v>
      </c>
      <c r="L36" s="21">
        <v>201711</v>
      </c>
      <c r="M36" s="21">
        <v>10226.5498046875</v>
      </c>
      <c r="N36" s="20"/>
    </row>
    <row r="37" spans="1:14" x14ac:dyDescent="0.3">
      <c r="A37" t="s">
        <v>116</v>
      </c>
      <c r="B37">
        <v>-773.615404994904</v>
      </c>
      <c r="E37">
        <v>201712</v>
      </c>
      <c r="F37">
        <v>10530.7001953125</v>
      </c>
      <c r="G37">
        <v>385.77653652258402</v>
      </c>
      <c r="L37" s="21">
        <v>201712</v>
      </c>
      <c r="M37" s="21">
        <v>10530.7001953125</v>
      </c>
      <c r="N37" s="20"/>
    </row>
    <row r="38" spans="1:14" x14ac:dyDescent="0.3">
      <c r="A38" t="s">
        <v>117</v>
      </c>
      <c r="B38">
        <v>-190.73279905226599</v>
      </c>
      <c r="E38">
        <v>201801</v>
      </c>
      <c r="F38">
        <v>11027.7001953125</v>
      </c>
      <c r="G38">
        <v>-773.615404994904</v>
      </c>
      <c r="L38" s="21">
        <v>201801</v>
      </c>
      <c r="M38" s="21">
        <v>11027.7001953125</v>
      </c>
      <c r="N38" s="20"/>
    </row>
    <row r="39" spans="1:14" x14ac:dyDescent="0.3">
      <c r="A39" t="s">
        <v>118</v>
      </c>
      <c r="B39">
        <v>218.85314879859999</v>
      </c>
      <c r="E39">
        <v>201802</v>
      </c>
      <c r="F39">
        <v>10492.849609375</v>
      </c>
      <c r="G39">
        <v>-190.73279905226599</v>
      </c>
      <c r="L39" s="21">
        <v>201802</v>
      </c>
      <c r="M39" s="21">
        <v>10492.849609375</v>
      </c>
      <c r="N39" s="20"/>
    </row>
    <row r="40" spans="1:14" x14ac:dyDescent="0.3">
      <c r="A40" t="s">
        <v>119</v>
      </c>
      <c r="B40">
        <v>-42.700382258568197</v>
      </c>
      <c r="E40">
        <v>201803</v>
      </c>
      <c r="F40">
        <v>10113.7001953125</v>
      </c>
      <c r="G40">
        <v>218.85314879859999</v>
      </c>
      <c r="L40" s="21">
        <v>201803</v>
      </c>
      <c r="M40" s="21">
        <v>10113.7001953125</v>
      </c>
      <c r="N40" s="20"/>
    </row>
    <row r="41" spans="1:14" x14ac:dyDescent="0.3">
      <c r="A41" t="s">
        <v>120</v>
      </c>
      <c r="B41">
        <v>175.50237522120401</v>
      </c>
      <c r="E41">
        <v>201804</v>
      </c>
      <c r="F41">
        <v>10739.349609375</v>
      </c>
      <c r="G41">
        <v>-42.700382258568197</v>
      </c>
      <c r="L41" s="21">
        <v>201804</v>
      </c>
      <c r="M41" s="21">
        <v>10739.349609375</v>
      </c>
      <c r="N41" s="20"/>
    </row>
    <row r="42" spans="1:14" x14ac:dyDescent="0.3">
      <c r="A42" t="s">
        <v>121</v>
      </c>
      <c r="B42">
        <v>121.677204114487</v>
      </c>
      <c r="E42">
        <v>201805</v>
      </c>
      <c r="F42">
        <v>10736.150390625</v>
      </c>
      <c r="G42">
        <v>175.50237522120401</v>
      </c>
      <c r="L42" s="21">
        <v>201805</v>
      </c>
      <c r="M42" s="21">
        <v>10736.150390625</v>
      </c>
      <c r="N42" s="20"/>
    </row>
    <row r="43" spans="1:14" x14ac:dyDescent="0.3">
      <c r="A43" t="s">
        <v>122</v>
      </c>
      <c r="B43">
        <v>494.661396396589</v>
      </c>
      <c r="E43">
        <v>201806</v>
      </c>
      <c r="F43">
        <v>10714.2998046875</v>
      </c>
      <c r="G43">
        <v>121.677204114487</v>
      </c>
      <c r="L43" s="21">
        <v>201806</v>
      </c>
      <c r="M43" s="21">
        <v>10714.2998046875</v>
      </c>
      <c r="N43" s="20"/>
    </row>
    <row r="44" spans="1:14" x14ac:dyDescent="0.3">
      <c r="A44" t="s">
        <v>123</v>
      </c>
      <c r="B44">
        <v>-383.66925928716103</v>
      </c>
      <c r="E44">
        <v>201807</v>
      </c>
      <c r="F44">
        <v>11356.5</v>
      </c>
      <c r="G44">
        <v>494.661396396589</v>
      </c>
      <c r="L44" s="21">
        <v>201807</v>
      </c>
      <c r="M44" s="21">
        <v>11356.5</v>
      </c>
      <c r="N44" s="20"/>
    </row>
    <row r="45" spans="1:14" x14ac:dyDescent="0.3">
      <c r="A45" t="s">
        <v>124</v>
      </c>
      <c r="B45">
        <v>319.62895663156502</v>
      </c>
      <c r="E45">
        <v>201808</v>
      </c>
      <c r="F45">
        <v>11680.5</v>
      </c>
      <c r="G45">
        <v>-383.66925928716103</v>
      </c>
      <c r="L45" s="21">
        <v>201808</v>
      </c>
      <c r="M45" s="21">
        <v>11680.5</v>
      </c>
      <c r="N45" s="20"/>
    </row>
    <row r="46" spans="1:14" x14ac:dyDescent="0.3">
      <c r="A46" t="s">
        <v>125</v>
      </c>
      <c r="B46">
        <v>348.28252399661102</v>
      </c>
      <c r="E46">
        <v>201809</v>
      </c>
      <c r="F46">
        <v>10930.4501953125</v>
      </c>
      <c r="G46">
        <v>319.62895663156502</v>
      </c>
      <c r="L46" s="21">
        <v>201809</v>
      </c>
      <c r="M46" s="21">
        <v>10930.4501953125</v>
      </c>
      <c r="N46" s="20"/>
    </row>
    <row r="47" spans="1:14" x14ac:dyDescent="0.3">
      <c r="A47" t="s">
        <v>126</v>
      </c>
      <c r="B47">
        <v>-32.915946522807701</v>
      </c>
      <c r="E47">
        <v>201810</v>
      </c>
      <c r="F47">
        <v>10386.599609375</v>
      </c>
      <c r="G47">
        <v>348.28252399661102</v>
      </c>
      <c r="L47" s="21">
        <v>201810</v>
      </c>
      <c r="M47" s="21">
        <v>10386.599609375</v>
      </c>
      <c r="N47" s="20"/>
    </row>
    <row r="48" spans="1:14" x14ac:dyDescent="0.3">
      <c r="A48" t="s">
        <v>127</v>
      </c>
      <c r="B48">
        <v>715.59291539316598</v>
      </c>
      <c r="E48">
        <v>201811</v>
      </c>
      <c r="F48">
        <v>10876.75</v>
      </c>
      <c r="G48">
        <v>-32.915946522807701</v>
      </c>
      <c r="L48" s="21">
        <v>201811</v>
      </c>
      <c r="M48" s="21">
        <v>10876.75</v>
      </c>
      <c r="N48" s="20"/>
    </row>
    <row r="49" spans="1:14" x14ac:dyDescent="0.3">
      <c r="A49" t="s">
        <v>128</v>
      </c>
      <c r="B49">
        <v>-203.53742548461801</v>
      </c>
      <c r="E49">
        <v>201812</v>
      </c>
      <c r="F49">
        <v>10862.5498046875</v>
      </c>
      <c r="G49">
        <v>715.59291539316598</v>
      </c>
      <c r="L49" s="21">
        <v>201812</v>
      </c>
      <c r="M49" s="21">
        <v>10862.5498046875</v>
      </c>
      <c r="N49" s="20"/>
    </row>
    <row r="50" spans="1:14" x14ac:dyDescent="0.3">
      <c r="A50" t="s">
        <v>129</v>
      </c>
      <c r="B50">
        <v>228.88844480148899</v>
      </c>
      <c r="E50">
        <v>201901</v>
      </c>
      <c r="F50">
        <v>10830.9501953125</v>
      </c>
      <c r="G50">
        <v>-203.53742548461801</v>
      </c>
      <c r="L50" s="21">
        <v>201901</v>
      </c>
      <c r="M50" s="21">
        <v>10830.9501953125</v>
      </c>
      <c r="N50" s="20"/>
    </row>
    <row r="51" spans="1:14" x14ac:dyDescent="0.3">
      <c r="A51" t="s">
        <v>130</v>
      </c>
      <c r="B51">
        <v>766.42330697336001</v>
      </c>
      <c r="E51">
        <v>201902</v>
      </c>
      <c r="F51">
        <v>10792.5</v>
      </c>
      <c r="G51">
        <v>228.88844480148899</v>
      </c>
      <c r="L51" s="21">
        <v>201902</v>
      </c>
      <c r="M51" s="21">
        <v>10792.5</v>
      </c>
      <c r="N51" s="20"/>
    </row>
    <row r="52" spans="1:14" x14ac:dyDescent="0.3">
      <c r="A52" t="s">
        <v>131</v>
      </c>
      <c r="B52">
        <v>-143.00811256961001</v>
      </c>
      <c r="E52">
        <v>201903</v>
      </c>
      <c r="F52">
        <v>11623.900390625</v>
      </c>
      <c r="G52">
        <v>766.42330697336001</v>
      </c>
      <c r="L52" s="21">
        <v>201903</v>
      </c>
      <c r="M52" s="21">
        <v>11623.900390625</v>
      </c>
      <c r="N52" s="20"/>
    </row>
    <row r="53" spans="1:14" x14ac:dyDescent="0.3">
      <c r="A53" t="s">
        <v>132</v>
      </c>
      <c r="B53">
        <v>377.19138196547402</v>
      </c>
      <c r="E53">
        <v>201904</v>
      </c>
      <c r="F53">
        <v>11748.150390625</v>
      </c>
      <c r="G53">
        <v>-143.00811256961001</v>
      </c>
      <c r="L53" s="21">
        <v>201904</v>
      </c>
      <c r="M53" s="21">
        <v>11748.150390625</v>
      </c>
      <c r="N53" s="20"/>
    </row>
    <row r="54" spans="1:14" x14ac:dyDescent="0.3">
      <c r="A54" t="s">
        <v>133</v>
      </c>
      <c r="B54">
        <v>117.9023829309</v>
      </c>
      <c r="E54">
        <v>201905</v>
      </c>
      <c r="F54">
        <v>11922.7998046875</v>
      </c>
      <c r="G54">
        <v>377.19138196547402</v>
      </c>
      <c r="L54" s="21">
        <v>201905</v>
      </c>
      <c r="M54" s="21">
        <v>11922.7998046875</v>
      </c>
      <c r="N54" s="20"/>
    </row>
    <row r="55" spans="1:14" x14ac:dyDescent="0.3">
      <c r="A55" t="s">
        <v>134</v>
      </c>
      <c r="B55">
        <v>175.802595443196</v>
      </c>
      <c r="E55">
        <v>201906</v>
      </c>
      <c r="F55">
        <v>11788.849609375</v>
      </c>
      <c r="G55">
        <v>117.9023829309</v>
      </c>
      <c r="L55" s="21">
        <v>201906</v>
      </c>
      <c r="M55" s="21">
        <v>11788.849609375</v>
      </c>
      <c r="N55" s="20"/>
    </row>
    <row r="56" spans="1:14" x14ac:dyDescent="0.3">
      <c r="A56" t="s">
        <v>135</v>
      </c>
      <c r="B56">
        <v>338.886951020499</v>
      </c>
      <c r="E56">
        <v>201907</v>
      </c>
      <c r="F56">
        <v>11118</v>
      </c>
      <c r="G56">
        <v>175.802595443196</v>
      </c>
      <c r="L56" s="21">
        <v>201907</v>
      </c>
      <c r="M56" s="21">
        <v>11118</v>
      </c>
      <c r="N56" s="20"/>
    </row>
    <row r="57" spans="1:14" x14ac:dyDescent="0.3">
      <c r="A57" t="s">
        <v>136</v>
      </c>
      <c r="B57">
        <v>236.61031516506199</v>
      </c>
      <c r="E57">
        <v>201908</v>
      </c>
      <c r="F57">
        <v>11023.25</v>
      </c>
      <c r="G57">
        <v>338.886951020499</v>
      </c>
      <c r="L57" s="21">
        <v>201908</v>
      </c>
      <c r="M57" s="21">
        <v>11023.25</v>
      </c>
      <c r="N57" s="20"/>
    </row>
    <row r="58" spans="1:14" x14ac:dyDescent="0.3">
      <c r="A58" t="s">
        <v>137</v>
      </c>
      <c r="B58">
        <v>211.763250945468</v>
      </c>
      <c r="E58">
        <v>201909</v>
      </c>
      <c r="F58">
        <v>11474.4501953125</v>
      </c>
      <c r="G58">
        <v>236.61031516506199</v>
      </c>
      <c r="L58" s="21">
        <v>201909</v>
      </c>
      <c r="M58" s="21">
        <v>11474.4501953125</v>
      </c>
      <c r="N58" s="20"/>
    </row>
    <row r="59" spans="1:14" x14ac:dyDescent="0.3">
      <c r="A59" t="s">
        <v>138</v>
      </c>
      <c r="B59">
        <v>252.256641099418</v>
      </c>
      <c r="E59">
        <v>201910</v>
      </c>
      <c r="F59">
        <v>11877.4501953125</v>
      </c>
      <c r="G59">
        <v>211.763250945468</v>
      </c>
      <c r="L59" s="21">
        <v>201910</v>
      </c>
      <c r="M59" s="21">
        <v>11877.4501953125</v>
      </c>
      <c r="N59" s="20"/>
    </row>
    <row r="60" spans="1:14" x14ac:dyDescent="0.3">
      <c r="A60" t="s">
        <v>139</v>
      </c>
      <c r="B60">
        <v>87.632134690411206</v>
      </c>
      <c r="E60">
        <v>201911</v>
      </c>
      <c r="F60">
        <v>12056.0498046875</v>
      </c>
      <c r="G60">
        <v>252.256641099418</v>
      </c>
      <c r="L60" s="21">
        <v>201911</v>
      </c>
      <c r="M60" s="21">
        <v>12056.0498046875</v>
      </c>
      <c r="N60" s="20"/>
    </row>
    <row r="61" spans="1:14" x14ac:dyDescent="0.3">
      <c r="A61" t="s">
        <v>140</v>
      </c>
      <c r="B61">
        <v>112.791322834192</v>
      </c>
      <c r="E61">
        <v>201912</v>
      </c>
      <c r="F61">
        <v>12168.4501953125</v>
      </c>
      <c r="G61">
        <v>87.632134690411206</v>
      </c>
      <c r="L61" s="21">
        <v>201912</v>
      </c>
      <c r="M61" s="21">
        <v>12168.4501953125</v>
      </c>
      <c r="N61" s="20"/>
    </row>
    <row r="62" spans="1:14" x14ac:dyDescent="0.3">
      <c r="A62" t="s">
        <v>141</v>
      </c>
      <c r="B62">
        <v>174.0525222727</v>
      </c>
      <c r="E62">
        <v>202001</v>
      </c>
      <c r="F62">
        <v>11962.099609375</v>
      </c>
      <c r="G62">
        <v>112.791322834192</v>
      </c>
      <c r="L62" s="21">
        <v>202001</v>
      </c>
      <c r="M62" s="21">
        <v>11962.099609375</v>
      </c>
      <c r="N62" s="20"/>
    </row>
    <row r="63" spans="1:14" x14ac:dyDescent="0.3">
      <c r="A63" t="s">
        <v>142</v>
      </c>
      <c r="B63">
        <v>-21.020201622094302</v>
      </c>
      <c r="E63">
        <v>202002</v>
      </c>
      <c r="F63">
        <v>11201.75</v>
      </c>
      <c r="G63">
        <v>174.0525222727</v>
      </c>
      <c r="L63" s="21">
        <v>202002</v>
      </c>
      <c r="M63" s="21">
        <v>11201.75</v>
      </c>
      <c r="N63" s="20"/>
    </row>
    <row r="64" spans="1:14" x14ac:dyDescent="0.3">
      <c r="A64" t="s">
        <v>143</v>
      </c>
      <c r="B64">
        <v>5.4582362568293599</v>
      </c>
      <c r="E64">
        <v>202003</v>
      </c>
      <c r="F64">
        <v>8597.75</v>
      </c>
      <c r="G64">
        <v>-21.020201622094302</v>
      </c>
      <c r="L64" s="21">
        <v>202003</v>
      </c>
      <c r="M64" s="21">
        <v>8597.75</v>
      </c>
      <c r="N64" s="20"/>
    </row>
    <row r="65" spans="1:14" x14ac:dyDescent="0.3">
      <c r="A65" t="s">
        <v>144</v>
      </c>
      <c r="B65">
        <v>151.41647093656701</v>
      </c>
      <c r="E65">
        <v>202004</v>
      </c>
      <c r="F65">
        <v>9859.900390625</v>
      </c>
      <c r="G65">
        <v>5.4582362568293599</v>
      </c>
      <c r="L65" s="21">
        <v>202004</v>
      </c>
      <c r="M65" s="21">
        <v>9859.900390625</v>
      </c>
      <c r="N65" s="20"/>
    </row>
    <row r="66" spans="1:14" x14ac:dyDescent="0.3">
      <c r="A66" t="s">
        <v>145</v>
      </c>
      <c r="B66">
        <v>157.483223361646</v>
      </c>
      <c r="E66">
        <v>202005</v>
      </c>
      <c r="F66">
        <v>9580.2998046875</v>
      </c>
      <c r="G66">
        <v>151.41647093656701</v>
      </c>
      <c r="L66" s="21">
        <v>202005</v>
      </c>
      <c r="M66" s="21">
        <v>9580.2998046875</v>
      </c>
      <c r="N66" s="20"/>
    </row>
    <row r="67" spans="1:14" x14ac:dyDescent="0.3">
      <c r="A67" t="s">
        <v>146</v>
      </c>
      <c r="B67">
        <v>34.659521656082902</v>
      </c>
      <c r="E67">
        <v>202006</v>
      </c>
      <c r="F67">
        <v>10302.099609375</v>
      </c>
      <c r="G67">
        <v>157.483223361646</v>
      </c>
      <c r="L67" s="21">
        <v>202006</v>
      </c>
      <c r="M67" s="21">
        <v>10302.099609375</v>
      </c>
      <c r="N67" s="20"/>
    </row>
    <row r="68" spans="1:14" x14ac:dyDescent="0.3">
      <c r="A68" t="s">
        <v>147</v>
      </c>
      <c r="B68">
        <v>265.87990804859902</v>
      </c>
      <c r="E68">
        <v>202007</v>
      </c>
      <c r="F68">
        <v>11073.4501953125</v>
      </c>
      <c r="G68">
        <v>34.659521656082902</v>
      </c>
      <c r="L68" s="21">
        <v>202007</v>
      </c>
      <c r="M68" s="21">
        <v>11073.4501953125</v>
      </c>
      <c r="N68" s="20"/>
    </row>
    <row r="69" spans="1:14" x14ac:dyDescent="0.3">
      <c r="A69" t="s">
        <v>148</v>
      </c>
      <c r="B69">
        <v>287.64111583238798</v>
      </c>
      <c r="E69">
        <v>202008</v>
      </c>
      <c r="F69">
        <v>11387.5</v>
      </c>
      <c r="G69">
        <v>265.87990804859902</v>
      </c>
      <c r="L69" s="21">
        <v>202008</v>
      </c>
      <c r="M69" s="21">
        <v>11387.5</v>
      </c>
      <c r="N69" s="20"/>
    </row>
    <row r="70" spans="1:14" x14ac:dyDescent="0.3">
      <c r="A70" t="s">
        <v>149</v>
      </c>
      <c r="B70">
        <v>-189.210158144611</v>
      </c>
      <c r="E70">
        <v>202009</v>
      </c>
      <c r="F70">
        <v>11247.5498046875</v>
      </c>
      <c r="G70">
        <v>287.64111583238798</v>
      </c>
      <c r="L70" s="21">
        <v>202009</v>
      </c>
      <c r="M70" s="21">
        <v>11247.5498046875</v>
      </c>
      <c r="N70" s="20"/>
    </row>
    <row r="71" spans="1:14" x14ac:dyDescent="0.3">
      <c r="A71" t="s">
        <v>150</v>
      </c>
      <c r="B71">
        <v>323.65133226476598</v>
      </c>
      <c r="E71">
        <v>202010</v>
      </c>
      <c r="F71">
        <v>11642.4</v>
      </c>
      <c r="G71">
        <v>-189.210158144611</v>
      </c>
      <c r="L71" s="21">
        <v>202010</v>
      </c>
      <c r="M71" s="21">
        <v>11642.4</v>
      </c>
      <c r="N71" s="20"/>
    </row>
    <row r="72" spans="1:14" x14ac:dyDescent="0.3">
      <c r="A72" t="s">
        <v>151</v>
      </c>
      <c r="B72">
        <v>192.10813196548301</v>
      </c>
      <c r="E72">
        <v>202011</v>
      </c>
      <c r="F72">
        <v>12968.95</v>
      </c>
      <c r="G72">
        <v>323.65133226476598</v>
      </c>
      <c r="L72" s="21">
        <v>202011</v>
      </c>
      <c r="M72" s="21">
        <v>12968.95</v>
      </c>
      <c r="N72" s="20"/>
    </row>
    <row r="73" spans="1:14" x14ac:dyDescent="0.3">
      <c r="A73" t="s">
        <v>152</v>
      </c>
      <c r="B73">
        <v>119.90032177553699</v>
      </c>
      <c r="E73">
        <v>202012</v>
      </c>
      <c r="F73">
        <v>13981.75</v>
      </c>
      <c r="G73">
        <v>192.10813196548301</v>
      </c>
      <c r="L73" s="21">
        <v>202012</v>
      </c>
      <c r="M73" s="21">
        <v>13981.75</v>
      </c>
      <c r="N73" s="20"/>
    </row>
    <row r="74" spans="1:14" x14ac:dyDescent="0.3">
      <c r="A74" t="s">
        <v>153</v>
      </c>
      <c r="B74">
        <v>385.12110176388398</v>
      </c>
      <c r="E74">
        <v>202101</v>
      </c>
      <c r="F74">
        <v>13634.6</v>
      </c>
      <c r="G74">
        <v>119.90032177553699</v>
      </c>
      <c r="L74" s="21">
        <v>202101</v>
      </c>
      <c r="M74" s="21">
        <v>13634.6</v>
      </c>
      <c r="N74" s="20"/>
    </row>
    <row r="75" spans="1:14" x14ac:dyDescent="0.3">
      <c r="A75" t="s">
        <v>154</v>
      </c>
      <c r="B75">
        <v>-4.6178992640790497</v>
      </c>
      <c r="E75">
        <v>202102</v>
      </c>
      <c r="F75">
        <v>14529.15</v>
      </c>
      <c r="G75">
        <v>385.12110176388398</v>
      </c>
      <c r="L75" s="21">
        <v>202102</v>
      </c>
      <c r="M75" s="21">
        <v>14529.15</v>
      </c>
      <c r="N75" s="20"/>
    </row>
    <row r="76" spans="1:14" x14ac:dyDescent="0.3">
      <c r="A76" t="s">
        <v>155</v>
      </c>
      <c r="B76">
        <v>185.73297717910799</v>
      </c>
      <c r="E76">
        <v>202103</v>
      </c>
      <c r="F76">
        <v>14690.7</v>
      </c>
      <c r="G76">
        <v>-4.6178992640790497</v>
      </c>
      <c r="L76" s="21">
        <v>202103</v>
      </c>
      <c r="M76" s="21">
        <v>14690.7</v>
      </c>
      <c r="N76" s="20"/>
    </row>
    <row r="77" spans="1:14" x14ac:dyDescent="0.3">
      <c r="A77" t="s">
        <v>156</v>
      </c>
      <c r="B77">
        <v>394.37037692679701</v>
      </c>
      <c r="E77">
        <v>202104</v>
      </c>
      <c r="F77">
        <v>14631.1</v>
      </c>
      <c r="G77">
        <v>185.73297717910799</v>
      </c>
      <c r="L77" s="21">
        <v>202104</v>
      </c>
      <c r="M77" s="21">
        <v>14631.1</v>
      </c>
      <c r="N77" s="20"/>
    </row>
    <row r="78" spans="1:14" x14ac:dyDescent="0.3">
      <c r="A78" t="s">
        <v>157</v>
      </c>
      <c r="B78">
        <v>41.808440259055203</v>
      </c>
      <c r="E78">
        <v>202105</v>
      </c>
      <c r="F78">
        <v>15582.8</v>
      </c>
      <c r="G78">
        <v>394.37037692679701</v>
      </c>
      <c r="L78" s="21">
        <v>202105</v>
      </c>
      <c r="M78" s="21">
        <v>15582.8</v>
      </c>
      <c r="N78" s="20"/>
    </row>
    <row r="79" spans="1:14" x14ac:dyDescent="0.3">
      <c r="A79" t="s">
        <v>158</v>
      </c>
      <c r="B79">
        <v>282.17314843822498</v>
      </c>
      <c r="E79">
        <v>202106</v>
      </c>
      <c r="F79">
        <v>15721.5</v>
      </c>
      <c r="G79">
        <v>41.808440259055203</v>
      </c>
      <c r="L79" s="21">
        <v>202106</v>
      </c>
      <c r="M79" s="21">
        <v>15721.5</v>
      </c>
      <c r="N79" s="20"/>
    </row>
    <row r="80" spans="1:14" x14ac:dyDescent="0.3">
      <c r="A80" t="s">
        <v>159</v>
      </c>
      <c r="B80">
        <v>177.929646690363</v>
      </c>
      <c r="E80">
        <v>202107</v>
      </c>
      <c r="F80">
        <v>15763.05</v>
      </c>
      <c r="G80">
        <v>282.17314843822498</v>
      </c>
      <c r="L80" s="21">
        <v>202107</v>
      </c>
      <c r="M80" s="21">
        <v>15763.05</v>
      </c>
      <c r="N80" s="20"/>
    </row>
    <row r="81" spans="1:14" x14ac:dyDescent="0.3">
      <c r="A81" t="s">
        <v>160</v>
      </c>
      <c r="B81">
        <v>182.912534813506</v>
      </c>
      <c r="E81">
        <v>202108</v>
      </c>
      <c r="F81">
        <v>17132.2</v>
      </c>
      <c r="G81">
        <v>177.929646690363</v>
      </c>
      <c r="L81" s="21">
        <v>202108</v>
      </c>
      <c r="M81" s="21">
        <v>17132.2</v>
      </c>
      <c r="N81" s="20"/>
    </row>
    <row r="82" spans="1:14" x14ac:dyDescent="0.3">
      <c r="A82" t="s">
        <v>161</v>
      </c>
      <c r="B82">
        <v>297.51234502870898</v>
      </c>
      <c r="E82">
        <v>202109</v>
      </c>
      <c r="F82">
        <v>17618.150000000001</v>
      </c>
      <c r="G82">
        <v>182.912534813506</v>
      </c>
      <c r="L82" s="21">
        <v>202109</v>
      </c>
      <c r="M82" s="21">
        <v>17618.150000000001</v>
      </c>
      <c r="N82" s="20"/>
    </row>
    <row r="83" spans="1:14" x14ac:dyDescent="0.3">
      <c r="A83" t="s">
        <v>162</v>
      </c>
      <c r="B83">
        <v>251.864948512827</v>
      </c>
      <c r="E83">
        <v>202110</v>
      </c>
      <c r="F83">
        <v>17671.650000000001</v>
      </c>
      <c r="G83">
        <v>297.51234502870898</v>
      </c>
      <c r="L83" s="21">
        <v>202110</v>
      </c>
      <c r="M83" s="21">
        <v>17671.650000000001</v>
      </c>
      <c r="N83" s="20"/>
    </row>
    <row r="84" spans="1:14" x14ac:dyDescent="0.3">
      <c r="A84" t="s">
        <v>163</v>
      </c>
      <c r="B84">
        <v>202.607668775001</v>
      </c>
      <c r="E84">
        <v>202111</v>
      </c>
      <c r="F84">
        <v>16983.2</v>
      </c>
      <c r="G84">
        <v>251.864948512827</v>
      </c>
      <c r="L84" s="21">
        <v>202111</v>
      </c>
      <c r="M84" s="21">
        <v>16983.2</v>
      </c>
      <c r="N84" s="20"/>
    </row>
    <row r="85" spans="1:14" x14ac:dyDescent="0.3">
      <c r="A85" t="s">
        <v>164</v>
      </c>
      <c r="B85">
        <v>216.15305824559101</v>
      </c>
      <c r="E85">
        <v>202112</v>
      </c>
      <c r="F85">
        <v>17354.05</v>
      </c>
      <c r="G85">
        <v>202.607668775001</v>
      </c>
      <c r="L85" s="21">
        <v>202112</v>
      </c>
      <c r="M85" s="21">
        <v>17354.05</v>
      </c>
      <c r="N85" s="20"/>
    </row>
    <row r="86" spans="1:14" x14ac:dyDescent="0.3">
      <c r="A86" t="s">
        <v>165</v>
      </c>
      <c r="B86">
        <v>187.936620027754</v>
      </c>
      <c r="E86">
        <v>202201</v>
      </c>
      <c r="F86">
        <v>17339.849999999999</v>
      </c>
      <c r="G86">
        <v>216.15305824559101</v>
      </c>
      <c r="L86" s="21">
        <v>202201</v>
      </c>
      <c r="M86" s="21">
        <v>17339.849999999999</v>
      </c>
      <c r="N86" s="20"/>
    </row>
    <row r="87" spans="1:14" x14ac:dyDescent="0.3">
      <c r="A87" t="s">
        <v>166</v>
      </c>
      <c r="B87">
        <v>134.13255921904101</v>
      </c>
      <c r="E87">
        <v>202202</v>
      </c>
      <c r="F87">
        <v>16793.900000000001</v>
      </c>
      <c r="G87">
        <v>187.936620027754</v>
      </c>
      <c r="L87" s="21">
        <v>202202</v>
      </c>
      <c r="M87" s="21">
        <v>16793.900000000001</v>
      </c>
      <c r="N87" s="20"/>
    </row>
    <row r="88" spans="1:14" x14ac:dyDescent="0.3">
      <c r="A88" t="s">
        <v>167</v>
      </c>
      <c r="B88">
        <v>151.182835175365</v>
      </c>
      <c r="E88">
        <v>202203</v>
      </c>
      <c r="F88">
        <v>17464.75</v>
      </c>
      <c r="G88">
        <v>134.13255921904101</v>
      </c>
      <c r="L88" s="21">
        <v>202203</v>
      </c>
      <c r="M88" s="21">
        <v>17464.75</v>
      </c>
      <c r="N88" s="20"/>
    </row>
    <row r="89" spans="1:14" x14ac:dyDescent="0.3">
      <c r="A89" t="s">
        <v>168</v>
      </c>
      <c r="B89">
        <v>208.378804455481</v>
      </c>
      <c r="E89">
        <v>202204</v>
      </c>
      <c r="F89">
        <v>17102.55</v>
      </c>
      <c r="G89">
        <v>151.182835175365</v>
      </c>
      <c r="L89" s="21">
        <v>202204</v>
      </c>
      <c r="M89" s="21">
        <v>17102.55</v>
      </c>
      <c r="N89" s="20"/>
    </row>
    <row r="90" spans="1:14" x14ac:dyDescent="0.3">
      <c r="A90" t="s">
        <v>169</v>
      </c>
      <c r="B90">
        <v>78.026195873513402</v>
      </c>
      <c r="E90">
        <v>202205</v>
      </c>
      <c r="F90">
        <v>16584.55</v>
      </c>
      <c r="G90">
        <v>208.378804455481</v>
      </c>
      <c r="L90" s="21">
        <v>202205</v>
      </c>
      <c r="M90" s="21">
        <v>16584.55</v>
      </c>
      <c r="N90" s="20"/>
    </row>
    <row r="91" spans="1:14" x14ac:dyDescent="0.3">
      <c r="A91" t="s">
        <v>170</v>
      </c>
      <c r="B91">
        <v>168.81654828935999</v>
      </c>
      <c r="E91">
        <v>202206</v>
      </c>
      <c r="F91">
        <v>15780.25</v>
      </c>
      <c r="G91">
        <v>78.026195873513402</v>
      </c>
      <c r="L91" s="21">
        <v>202206</v>
      </c>
      <c r="M91" s="21">
        <v>15780.25</v>
      </c>
      <c r="N91" s="20"/>
    </row>
    <row r="92" spans="1:14" x14ac:dyDescent="0.3">
      <c r="A92" t="s">
        <v>171</v>
      </c>
      <c r="B92">
        <v>190.84727022678999</v>
      </c>
      <c r="E92">
        <v>202207</v>
      </c>
      <c r="F92">
        <v>17158.25</v>
      </c>
      <c r="G92">
        <v>168.81654828935999</v>
      </c>
      <c r="L92" s="21">
        <v>202207</v>
      </c>
      <c r="M92" s="21">
        <v>17158.25</v>
      </c>
      <c r="N92" s="20"/>
    </row>
    <row r="93" spans="1:14" x14ac:dyDescent="0.3">
      <c r="A93" t="s">
        <v>172</v>
      </c>
      <c r="B93">
        <v>72.175792305154502</v>
      </c>
      <c r="E93">
        <v>202208</v>
      </c>
      <c r="F93">
        <v>17759.3</v>
      </c>
      <c r="G93">
        <v>190.84727022678999</v>
      </c>
      <c r="L93" s="21">
        <v>202208</v>
      </c>
      <c r="M93" s="21">
        <v>17759.3</v>
      </c>
      <c r="N93" s="20"/>
    </row>
    <row r="94" spans="1:14" x14ac:dyDescent="0.3">
      <c r="A94" t="s">
        <v>173</v>
      </c>
      <c r="B94">
        <v>265.61182831538503</v>
      </c>
      <c r="E94">
        <v>202209</v>
      </c>
      <c r="F94">
        <v>17094.349999999999</v>
      </c>
      <c r="G94">
        <v>72.175792305154502</v>
      </c>
      <c r="L94" s="21">
        <v>202209</v>
      </c>
      <c r="M94" s="21">
        <v>17094.349999999999</v>
      </c>
      <c r="N94" s="20"/>
    </row>
    <row r="95" spans="1:14" x14ac:dyDescent="0.3">
      <c r="A95" t="s">
        <v>174</v>
      </c>
      <c r="B95">
        <v>221.711849257761</v>
      </c>
      <c r="E95">
        <v>202210</v>
      </c>
      <c r="F95">
        <v>18012.2</v>
      </c>
      <c r="G95">
        <v>265.61182831538503</v>
      </c>
      <c r="L95" s="21">
        <v>202210</v>
      </c>
      <c r="M95" s="21">
        <v>18012.2</v>
      </c>
      <c r="N95" s="20"/>
    </row>
    <row r="96" spans="1:14" x14ac:dyDescent="0.3">
      <c r="A96" t="s">
        <v>175</v>
      </c>
      <c r="B96">
        <v>-14.4158021259079</v>
      </c>
      <c r="E96">
        <v>202211</v>
      </c>
      <c r="F96">
        <v>18758.349999999999</v>
      </c>
      <c r="G96">
        <v>221.711849257761</v>
      </c>
      <c r="L96" s="21">
        <v>202211</v>
      </c>
      <c r="M96" s="21">
        <v>18758.349999999999</v>
      </c>
      <c r="N96" s="20"/>
    </row>
    <row r="97" spans="1:22" ht="15.6" x14ac:dyDescent="0.3">
      <c r="A97" t="s">
        <v>176</v>
      </c>
      <c r="B97">
        <v>274.60448557879801</v>
      </c>
      <c r="E97">
        <v>202212</v>
      </c>
      <c r="F97">
        <v>18105.3</v>
      </c>
      <c r="G97">
        <v>-14.4158021259079</v>
      </c>
      <c r="L97" s="21">
        <v>202212</v>
      </c>
      <c r="M97" s="21">
        <v>18105.3</v>
      </c>
      <c r="N97" s="20"/>
      <c r="T97" s="14" t="s">
        <v>239</v>
      </c>
      <c r="U97" s="14" t="s">
        <v>241</v>
      </c>
      <c r="V97" s="14" t="s">
        <v>240</v>
      </c>
    </row>
    <row r="98" spans="1:22" ht="15.6" x14ac:dyDescent="0.3">
      <c r="A98" t="s">
        <v>177</v>
      </c>
      <c r="B98">
        <v>159.458365919366</v>
      </c>
      <c r="E98">
        <v>202301</v>
      </c>
      <c r="F98">
        <v>17662.150000000001</v>
      </c>
      <c r="G98">
        <v>274.60448557879801</v>
      </c>
      <c r="L98" s="21">
        <v>202301</v>
      </c>
      <c r="M98" s="21">
        <v>17662.150000000001</v>
      </c>
      <c r="N98" s="20"/>
      <c r="T98" s="15">
        <v>202301</v>
      </c>
      <c r="U98" s="15">
        <v>17662.150000000001</v>
      </c>
      <c r="V98" s="15"/>
    </row>
    <row r="99" spans="1:22" ht="15.6" x14ac:dyDescent="0.3">
      <c r="A99" t="s">
        <v>178</v>
      </c>
      <c r="B99">
        <v>160.861040064088</v>
      </c>
      <c r="E99">
        <v>202302</v>
      </c>
      <c r="F99">
        <v>17303.95</v>
      </c>
      <c r="G99">
        <v>159.458365919366</v>
      </c>
      <c r="L99" s="21">
        <v>202302</v>
      </c>
      <c r="M99" s="21">
        <v>17303.95</v>
      </c>
      <c r="N99" s="20"/>
      <c r="T99" s="15">
        <v>202302</v>
      </c>
      <c r="U99" s="15">
        <v>17303.95</v>
      </c>
      <c r="V99" s="15"/>
    </row>
    <row r="100" spans="1:22" ht="15.6" x14ac:dyDescent="0.3">
      <c r="A100" t="s">
        <v>179</v>
      </c>
      <c r="B100">
        <v>259.08641087985501</v>
      </c>
      <c r="E100">
        <v>202303</v>
      </c>
      <c r="F100">
        <v>17359.75</v>
      </c>
      <c r="G100">
        <v>160.861040064088</v>
      </c>
      <c r="L100" s="21">
        <v>202303</v>
      </c>
      <c r="M100" s="21">
        <v>17359.75</v>
      </c>
      <c r="N100" s="20"/>
      <c r="T100" s="15">
        <v>202303</v>
      </c>
      <c r="U100" s="15">
        <v>17359.75</v>
      </c>
      <c r="V100" s="15"/>
    </row>
    <row r="101" spans="1:22" ht="15.6" x14ac:dyDescent="0.3">
      <c r="A101" t="s">
        <v>180</v>
      </c>
      <c r="B101">
        <v>81.393092956259196</v>
      </c>
      <c r="E101">
        <v>202304</v>
      </c>
      <c r="F101">
        <v>18065</v>
      </c>
      <c r="G101">
        <v>259.08641087985501</v>
      </c>
      <c r="L101" s="21">
        <v>202304</v>
      </c>
      <c r="M101" s="21">
        <v>18065</v>
      </c>
      <c r="N101" s="20"/>
      <c r="T101" s="15">
        <v>202304</v>
      </c>
      <c r="U101" s="15">
        <v>18065</v>
      </c>
      <c r="V101" s="15"/>
    </row>
    <row r="102" spans="1:22" ht="15.6" x14ac:dyDescent="0.3">
      <c r="A102" t="s">
        <v>181</v>
      </c>
      <c r="B102">
        <v>165.35545694170199</v>
      </c>
      <c r="E102">
        <v>202305</v>
      </c>
      <c r="F102">
        <v>18534.400000000001</v>
      </c>
      <c r="G102">
        <v>81.393092956259196</v>
      </c>
      <c r="L102" s="21">
        <v>202305</v>
      </c>
      <c r="M102" s="21">
        <v>18534.400000000001</v>
      </c>
      <c r="N102" s="20"/>
      <c r="T102" s="15">
        <v>202305</v>
      </c>
      <c r="U102" s="15">
        <v>18534.400000000001</v>
      </c>
      <c r="V102" s="15"/>
    </row>
    <row r="103" spans="1:22" ht="15.6" x14ac:dyDescent="0.3">
      <c r="A103" t="s">
        <v>182</v>
      </c>
      <c r="B103">
        <v>257.17177256622602</v>
      </c>
      <c r="E103">
        <v>202306</v>
      </c>
      <c r="F103">
        <v>19189.05</v>
      </c>
      <c r="G103">
        <v>165.35545694170199</v>
      </c>
      <c r="L103" s="21">
        <v>202306</v>
      </c>
      <c r="M103" s="21">
        <v>19189.05</v>
      </c>
      <c r="N103" s="20"/>
      <c r="T103" s="15">
        <v>202306</v>
      </c>
      <c r="U103" s="15">
        <v>19189.05</v>
      </c>
      <c r="V103" s="15"/>
    </row>
    <row r="104" spans="1:22" ht="15.6" x14ac:dyDescent="0.3">
      <c r="A104" t="s">
        <v>183</v>
      </c>
      <c r="B104">
        <v>121.081962467943</v>
      </c>
      <c r="E104">
        <v>202307</v>
      </c>
      <c r="F104">
        <v>19753.8</v>
      </c>
      <c r="G104">
        <v>257.17177256622602</v>
      </c>
      <c r="L104" s="21">
        <v>202307</v>
      </c>
      <c r="M104" s="21">
        <v>19753.8</v>
      </c>
      <c r="N104" s="20"/>
      <c r="T104" s="15">
        <v>202307</v>
      </c>
      <c r="U104" s="15">
        <v>19753.8</v>
      </c>
      <c r="V104" s="15"/>
    </row>
    <row r="105" spans="1:22" ht="15.6" x14ac:dyDescent="0.3">
      <c r="A105" t="s">
        <v>184</v>
      </c>
      <c r="B105">
        <v>219.055853344453</v>
      </c>
      <c r="E105">
        <v>202308</v>
      </c>
      <c r="F105">
        <v>19253.8</v>
      </c>
      <c r="G105">
        <v>121.081962467943</v>
      </c>
      <c r="L105" s="21">
        <v>202308</v>
      </c>
      <c r="M105" s="21">
        <v>19253.8</v>
      </c>
      <c r="N105" s="20"/>
      <c r="T105" s="15">
        <v>202308</v>
      </c>
      <c r="U105" s="15">
        <v>19253.8</v>
      </c>
      <c r="V105" s="15"/>
    </row>
    <row r="106" spans="1:22" ht="15.6" x14ac:dyDescent="0.3">
      <c r="A106" t="s">
        <v>185</v>
      </c>
      <c r="B106">
        <v>194.631473506417</v>
      </c>
      <c r="E106">
        <v>202309</v>
      </c>
      <c r="F106">
        <v>19638.3</v>
      </c>
      <c r="G106">
        <v>219.055853344453</v>
      </c>
      <c r="L106" s="21">
        <v>202309</v>
      </c>
      <c r="M106" s="21">
        <v>19638.3</v>
      </c>
      <c r="N106" s="20"/>
      <c r="T106" s="15">
        <v>202309</v>
      </c>
      <c r="U106" s="15">
        <v>19638.3</v>
      </c>
      <c r="V106" s="15"/>
    </row>
    <row r="107" spans="1:22" ht="15.6" x14ac:dyDescent="0.3">
      <c r="A107" t="s">
        <v>186</v>
      </c>
      <c r="B107">
        <v>191.83834838098599</v>
      </c>
      <c r="E107">
        <v>202310</v>
      </c>
      <c r="F107">
        <v>19079.599999999999</v>
      </c>
      <c r="G107">
        <v>194.631473506417</v>
      </c>
      <c r="L107" s="21">
        <v>202310</v>
      </c>
      <c r="M107" s="21">
        <v>19079.599999999999</v>
      </c>
      <c r="N107" s="20"/>
      <c r="T107" s="15">
        <v>202310</v>
      </c>
      <c r="U107" s="15">
        <v>19079.599999999999</v>
      </c>
      <c r="V107" s="15"/>
    </row>
    <row r="108" spans="1:22" ht="15.6" x14ac:dyDescent="0.3">
      <c r="A108" t="s">
        <v>187</v>
      </c>
      <c r="B108">
        <v>219.22357756836499</v>
      </c>
      <c r="E108">
        <v>202311</v>
      </c>
      <c r="F108">
        <v>20133.150000000001</v>
      </c>
      <c r="G108">
        <v>191.83834838098599</v>
      </c>
      <c r="L108" s="21">
        <v>202311</v>
      </c>
      <c r="M108" s="21">
        <v>20133.150000000001</v>
      </c>
      <c r="N108" s="20"/>
      <c r="T108" s="15">
        <v>202311</v>
      </c>
      <c r="U108" s="15">
        <v>20133.150000000001</v>
      </c>
      <c r="V108" s="15"/>
    </row>
    <row r="109" spans="1:22" ht="15.6" x14ac:dyDescent="0.3">
      <c r="A109" t="s">
        <v>188</v>
      </c>
      <c r="B109">
        <v>237.74173039026601</v>
      </c>
      <c r="E109">
        <v>202312</v>
      </c>
      <c r="F109">
        <v>21731.4</v>
      </c>
      <c r="G109">
        <v>219.22357756836499</v>
      </c>
      <c r="L109" s="21">
        <v>202312</v>
      </c>
      <c r="M109" s="21">
        <v>21731.4</v>
      </c>
      <c r="N109" s="20"/>
      <c r="T109" s="15">
        <v>202312</v>
      </c>
      <c r="U109" s="15">
        <v>21731.4</v>
      </c>
      <c r="V109" s="15"/>
    </row>
    <row r="110" spans="1:22" ht="15.6" x14ac:dyDescent="0.3">
      <c r="A110" t="s">
        <v>189</v>
      </c>
      <c r="B110">
        <v>194.40996235930399</v>
      </c>
      <c r="E110">
        <v>202401</v>
      </c>
      <c r="F110">
        <v>21725.7</v>
      </c>
      <c r="G110">
        <v>237.74173039026601</v>
      </c>
      <c r="L110" s="21">
        <v>202401</v>
      </c>
      <c r="M110" s="21">
        <v>21725.7</v>
      </c>
      <c r="N110" s="20"/>
      <c r="T110" s="15">
        <v>202401</v>
      </c>
      <c r="U110" s="15">
        <v>21725.7</v>
      </c>
      <c r="V110" s="15"/>
    </row>
    <row r="111" spans="1:22" ht="15.6" x14ac:dyDescent="0.3">
      <c r="A111" t="s">
        <v>190</v>
      </c>
      <c r="B111">
        <v>193.46957513473501</v>
      </c>
      <c r="E111">
        <v>202402</v>
      </c>
      <c r="F111">
        <v>21982.799999999999</v>
      </c>
      <c r="G111">
        <v>194.40996235930399</v>
      </c>
      <c r="L111" s="21">
        <v>202402</v>
      </c>
      <c r="M111" s="21">
        <v>21982.799999999999</v>
      </c>
      <c r="N111" s="20"/>
      <c r="T111" s="15">
        <v>202402</v>
      </c>
      <c r="U111" s="15">
        <v>21982.799999999999</v>
      </c>
      <c r="V111" s="15"/>
    </row>
    <row r="112" spans="1:22" ht="15.6" x14ac:dyDescent="0.3">
      <c r="A112" t="s">
        <v>191</v>
      </c>
      <c r="B112">
        <v>215.33751048591199</v>
      </c>
      <c r="E112">
        <v>202403</v>
      </c>
      <c r="F112">
        <v>22326.9</v>
      </c>
      <c r="G112">
        <v>193.46957513473501</v>
      </c>
      <c r="L112" s="21">
        <v>202403</v>
      </c>
      <c r="M112" s="21">
        <v>22326.9</v>
      </c>
      <c r="N112" s="20"/>
      <c r="T112" s="15">
        <v>202403</v>
      </c>
      <c r="U112" s="15">
        <v>22326.9</v>
      </c>
      <c r="V112" s="15"/>
    </row>
    <row r="113" spans="1:22" ht="15.6" x14ac:dyDescent="0.3">
      <c r="A113" t="s">
        <v>192</v>
      </c>
      <c r="B113">
        <v>142.21937109339001</v>
      </c>
      <c r="E113">
        <v>202404</v>
      </c>
      <c r="F113">
        <v>22604.85</v>
      </c>
      <c r="G113">
        <v>215.33751048591199</v>
      </c>
      <c r="L113" s="21">
        <v>202404</v>
      </c>
      <c r="M113" s="21">
        <v>22604.85</v>
      </c>
      <c r="N113" s="20"/>
      <c r="T113" s="15">
        <v>202404</v>
      </c>
      <c r="U113" s="15">
        <v>22604.85</v>
      </c>
      <c r="V113" s="15"/>
    </row>
    <row r="114" spans="1:22" ht="15.6" x14ac:dyDescent="0.3">
      <c r="A114" t="s">
        <v>193</v>
      </c>
      <c r="B114">
        <v>160.630618600231</v>
      </c>
      <c r="E114">
        <v>202405</v>
      </c>
      <c r="F114">
        <v>22530.7</v>
      </c>
      <c r="G114">
        <v>142.21937109339001</v>
      </c>
      <c r="L114" s="21">
        <v>202405</v>
      </c>
      <c r="M114" s="21">
        <v>22530.7</v>
      </c>
      <c r="N114" s="20"/>
      <c r="T114" s="15">
        <v>202405</v>
      </c>
      <c r="U114" s="15">
        <v>22530.7</v>
      </c>
      <c r="V114" s="15"/>
    </row>
    <row r="115" spans="1:22" ht="15.6" x14ac:dyDescent="0.3">
      <c r="A115" t="s">
        <v>194</v>
      </c>
      <c r="B115">
        <v>246.70083655334</v>
      </c>
      <c r="E115">
        <v>202406</v>
      </c>
      <c r="F115">
        <v>24010.6</v>
      </c>
      <c r="G115">
        <v>160.630618600231</v>
      </c>
      <c r="L115" s="21">
        <v>202406</v>
      </c>
      <c r="M115" s="21">
        <v>24010.6</v>
      </c>
      <c r="N115" s="20"/>
      <c r="T115" s="15">
        <v>202406</v>
      </c>
      <c r="U115" s="15">
        <v>24010.6</v>
      </c>
      <c r="V115" s="15"/>
    </row>
    <row r="116" spans="1:22" ht="15.6" x14ac:dyDescent="0.3">
      <c r="A116" t="s">
        <v>195</v>
      </c>
      <c r="B116">
        <v>118.691870132351</v>
      </c>
      <c r="E116">
        <v>202407</v>
      </c>
      <c r="F116">
        <v>24951.15</v>
      </c>
      <c r="G116">
        <v>246.70083655334</v>
      </c>
      <c r="L116" s="21">
        <v>202407</v>
      </c>
      <c r="M116" s="21">
        <v>24951.15</v>
      </c>
      <c r="N116" s="20"/>
      <c r="T116" s="15">
        <v>202407</v>
      </c>
      <c r="U116" s="15">
        <v>24951.15</v>
      </c>
      <c r="V116" s="15"/>
    </row>
    <row r="117" spans="1:22" ht="15.6" x14ac:dyDescent="0.3">
      <c r="A117" t="s">
        <v>196</v>
      </c>
      <c r="B117">
        <v>184.281608245044</v>
      </c>
      <c r="E117">
        <v>202408</v>
      </c>
      <c r="F117">
        <v>25235.9</v>
      </c>
      <c r="G117">
        <v>118.691870132351</v>
      </c>
      <c r="L117" s="21">
        <v>202408</v>
      </c>
      <c r="M117" s="21">
        <v>25235.9</v>
      </c>
      <c r="N117" s="20"/>
      <c r="T117" s="15">
        <v>202408</v>
      </c>
      <c r="U117" s="15">
        <v>25235.9</v>
      </c>
      <c r="V117" s="15"/>
    </row>
    <row r="118" spans="1:22" ht="15.6" x14ac:dyDescent="0.3">
      <c r="A118" t="s">
        <v>197</v>
      </c>
      <c r="B118">
        <v>192.17027627658001</v>
      </c>
      <c r="E118">
        <v>202409</v>
      </c>
      <c r="F118">
        <v>25810.85</v>
      </c>
      <c r="G118">
        <v>184.281608245044</v>
      </c>
      <c r="L118" s="21">
        <v>202409</v>
      </c>
      <c r="M118" s="21">
        <v>25810.85</v>
      </c>
      <c r="N118" s="20"/>
      <c r="T118" s="15">
        <v>202409</v>
      </c>
      <c r="U118" s="15">
        <v>25810.85</v>
      </c>
      <c r="V118" s="15"/>
    </row>
    <row r="119" spans="1:22" ht="15.6" x14ac:dyDescent="0.3">
      <c r="A119" t="s">
        <v>198</v>
      </c>
      <c r="B119">
        <v>120.740110518867</v>
      </c>
      <c r="E119">
        <v>202410</v>
      </c>
      <c r="F119">
        <v>24205.35</v>
      </c>
      <c r="G119">
        <v>192.17027627658001</v>
      </c>
      <c r="L119" s="21">
        <v>202410</v>
      </c>
      <c r="M119" s="21">
        <v>24205.35</v>
      </c>
      <c r="N119" s="20"/>
      <c r="T119" s="15">
        <v>202410</v>
      </c>
      <c r="U119" s="15">
        <v>24205.35</v>
      </c>
      <c r="V119" s="15"/>
    </row>
    <row r="120" spans="1:22" ht="15.6" x14ac:dyDescent="0.3">
      <c r="A120" t="s">
        <v>199</v>
      </c>
      <c r="B120">
        <v>241.98255635871601</v>
      </c>
      <c r="E120">
        <v>202411</v>
      </c>
      <c r="F120">
        <v>24131.1</v>
      </c>
      <c r="G120">
        <v>120.740110518867</v>
      </c>
      <c r="L120" s="21">
        <v>202411</v>
      </c>
      <c r="M120" s="21">
        <v>24131.1</v>
      </c>
      <c r="N120" s="20"/>
      <c r="T120" s="15">
        <v>202411</v>
      </c>
      <c r="U120" s="15">
        <v>24131.1</v>
      </c>
      <c r="V120" s="15"/>
    </row>
    <row r="121" spans="1:22" ht="15.6" x14ac:dyDescent="0.3">
      <c r="A121" t="s">
        <v>200</v>
      </c>
      <c r="B121">
        <v>202.530235729601</v>
      </c>
      <c r="E121">
        <v>202412</v>
      </c>
      <c r="F121">
        <v>23644.799999999999</v>
      </c>
      <c r="G121">
        <v>241.98255635871601</v>
      </c>
      <c r="L121" s="21">
        <v>202412</v>
      </c>
      <c r="M121" s="21">
        <v>23644.799999999999</v>
      </c>
      <c r="N121" s="20"/>
      <c r="T121" s="15">
        <v>202412</v>
      </c>
      <c r="U121" s="15">
        <v>23644.799999999999</v>
      </c>
      <c r="V121" s="15"/>
    </row>
    <row r="122" spans="1:22" ht="15.6" x14ac:dyDescent="0.3">
      <c r="A122" t="s">
        <v>201</v>
      </c>
      <c r="B122">
        <v>88.749358039829204</v>
      </c>
      <c r="E122">
        <v>202501</v>
      </c>
      <c r="F122">
        <v>23508.400000000001</v>
      </c>
      <c r="G122">
        <v>202.530235729601</v>
      </c>
      <c r="L122" s="21">
        <v>202501</v>
      </c>
      <c r="M122" s="21">
        <v>23508.400000000001</v>
      </c>
      <c r="N122" s="20"/>
      <c r="T122" s="15">
        <v>202501</v>
      </c>
      <c r="U122" s="15">
        <v>23508.400000000001</v>
      </c>
      <c r="V122" s="15"/>
    </row>
    <row r="123" spans="1:22" ht="15.6" x14ac:dyDescent="0.3">
      <c r="A123" t="s">
        <v>202</v>
      </c>
      <c r="B123">
        <v>234.50220309811499</v>
      </c>
      <c r="E123">
        <v>202502</v>
      </c>
      <c r="F123">
        <v>22124.7</v>
      </c>
      <c r="G123">
        <v>88.749358039829204</v>
      </c>
      <c r="L123" s="21">
        <v>202502</v>
      </c>
      <c r="M123" s="21">
        <v>22124.7</v>
      </c>
      <c r="N123" s="20"/>
      <c r="T123" s="15">
        <v>202502</v>
      </c>
      <c r="U123" s="15">
        <v>22124.7</v>
      </c>
      <c r="V123" s="15"/>
    </row>
    <row r="124" spans="1:22" ht="15.6" x14ac:dyDescent="0.3">
      <c r="A124" t="s">
        <v>203</v>
      </c>
      <c r="B124">
        <v>164.464576731877</v>
      </c>
      <c r="E124">
        <v>202503</v>
      </c>
      <c r="F124">
        <v>23519.35</v>
      </c>
      <c r="G124">
        <v>234.50220309811499</v>
      </c>
      <c r="L124" s="21">
        <v>202503</v>
      </c>
      <c r="M124" s="21">
        <v>23519.35</v>
      </c>
      <c r="N124" s="20"/>
      <c r="T124" s="15">
        <v>202503</v>
      </c>
      <c r="U124" s="15">
        <v>23519.35</v>
      </c>
      <c r="V124" s="15"/>
    </row>
    <row r="125" spans="1:22" ht="15.6" x14ac:dyDescent="0.3">
      <c r="A125" t="s">
        <v>204</v>
      </c>
      <c r="B125">
        <v>171.67264574869799</v>
      </c>
      <c r="E125">
        <v>202504</v>
      </c>
      <c r="F125">
        <v>24334.2</v>
      </c>
      <c r="G125">
        <v>164.464576731877</v>
      </c>
      <c r="L125" s="21">
        <v>202504</v>
      </c>
      <c r="M125" s="21">
        <v>24334.2</v>
      </c>
      <c r="N125" s="20"/>
      <c r="T125" s="15">
        <v>202504</v>
      </c>
      <c r="U125" s="15">
        <v>24334.2</v>
      </c>
      <c r="V125" s="15"/>
    </row>
    <row r="126" spans="1:22" ht="15.6" x14ac:dyDescent="0.3">
      <c r="A126" t="s">
        <v>205</v>
      </c>
      <c r="B126">
        <v>209.31962119993401</v>
      </c>
      <c r="E126">
        <v>202505</v>
      </c>
      <c r="F126">
        <v>24750.7</v>
      </c>
      <c r="G126">
        <v>171.67264574869799</v>
      </c>
      <c r="L126" s="21">
        <v>202505</v>
      </c>
      <c r="M126" s="21">
        <v>24750.7</v>
      </c>
      <c r="N126" s="20"/>
      <c r="T126" s="15">
        <v>202505</v>
      </c>
      <c r="U126" s="15">
        <v>24750.7</v>
      </c>
      <c r="V126" s="15"/>
    </row>
    <row r="127" spans="1:22" ht="15.6" x14ac:dyDescent="0.3">
      <c r="A127" t="s">
        <v>206</v>
      </c>
      <c r="B127">
        <v>135.10575781178301</v>
      </c>
      <c r="E127">
        <v>202506</v>
      </c>
      <c r="F127">
        <v>25517.05</v>
      </c>
      <c r="G127">
        <v>209.31962119993401</v>
      </c>
      <c r="L127" s="21">
        <v>202506</v>
      </c>
      <c r="M127" s="21">
        <v>25517.05</v>
      </c>
      <c r="N127" s="20"/>
      <c r="T127" s="15">
        <v>202506</v>
      </c>
      <c r="U127" s="15">
        <v>25517.05</v>
      </c>
      <c r="V127" s="15"/>
    </row>
    <row r="128" spans="1:22" ht="15.6" x14ac:dyDescent="0.3">
      <c r="A128" t="s">
        <v>207</v>
      </c>
      <c r="B128">
        <v>161.56730364806401</v>
      </c>
      <c r="E128">
        <v>202507</v>
      </c>
      <c r="F128">
        <v>24768.35</v>
      </c>
      <c r="G128">
        <v>135.10575781178301</v>
      </c>
      <c r="L128" s="21">
        <v>202507</v>
      </c>
      <c r="M128" s="21">
        <v>24768.35</v>
      </c>
      <c r="N128" s="20"/>
      <c r="T128" s="15">
        <v>202507</v>
      </c>
      <c r="U128" s="15">
        <v>24768.35</v>
      </c>
      <c r="V128" s="15"/>
    </row>
    <row r="129" spans="1:22" ht="15.6" x14ac:dyDescent="0.3">
      <c r="A129" t="s">
        <v>208</v>
      </c>
      <c r="B129">
        <v>207.89721449265701</v>
      </c>
      <c r="E129">
        <v>202508</v>
      </c>
      <c r="G129">
        <v>161.56730364806401</v>
      </c>
      <c r="H129">
        <f>F128+G129</f>
        <v>24929.917303648064</v>
      </c>
      <c r="L129" s="21">
        <v>202508</v>
      </c>
      <c r="M129" s="21"/>
      <c r="N129" s="20">
        <v>24929.917303648064</v>
      </c>
      <c r="T129" s="15">
        <v>202508</v>
      </c>
      <c r="U129" s="15"/>
      <c r="V129" s="15">
        <v>24929.917303648064</v>
      </c>
    </row>
    <row r="130" spans="1:22" ht="15.6" x14ac:dyDescent="0.3">
      <c r="A130" t="s">
        <v>209</v>
      </c>
      <c r="B130">
        <v>157.05373529523101</v>
      </c>
      <c r="E130">
        <v>202509</v>
      </c>
      <c r="G130">
        <v>207.89721449265701</v>
      </c>
      <c r="H130">
        <f>H129+G130</f>
        <v>25137.81451814072</v>
      </c>
      <c r="L130" s="21">
        <v>202509</v>
      </c>
      <c r="M130" s="21"/>
      <c r="N130" s="20">
        <v>25137.81451814072</v>
      </c>
      <c r="T130" s="15">
        <v>202509</v>
      </c>
      <c r="U130" s="15"/>
      <c r="V130" s="15">
        <v>25137.81451814072</v>
      </c>
    </row>
    <row r="131" spans="1:22" ht="15.6" x14ac:dyDescent="0.3">
      <c r="A131" t="s">
        <v>210</v>
      </c>
      <c r="B131">
        <v>187.86016188684499</v>
      </c>
      <c r="E131">
        <v>202510</v>
      </c>
      <c r="G131">
        <v>157.05373529523101</v>
      </c>
      <c r="H131">
        <f t="shared" ref="H131:H145" si="0">H130+G131</f>
        <v>25294.86825343595</v>
      </c>
      <c r="L131" s="21">
        <v>202510</v>
      </c>
      <c r="M131" s="21"/>
      <c r="N131" s="20">
        <v>25294.86825343595</v>
      </c>
      <c r="T131" s="15">
        <v>202510</v>
      </c>
      <c r="U131" s="15"/>
      <c r="V131" s="15">
        <v>25294.86825343595</v>
      </c>
    </row>
    <row r="132" spans="1:22" ht="15.6" x14ac:dyDescent="0.3">
      <c r="A132" t="s">
        <v>211</v>
      </c>
      <c r="B132">
        <v>198.69071108113999</v>
      </c>
      <c r="E132">
        <v>202511</v>
      </c>
      <c r="G132">
        <v>187.86016188684499</v>
      </c>
      <c r="H132">
        <f t="shared" si="0"/>
        <v>25482.728415322796</v>
      </c>
      <c r="L132" s="21">
        <v>202511</v>
      </c>
      <c r="M132" s="21"/>
      <c r="N132" s="20">
        <v>25482.728415322796</v>
      </c>
      <c r="T132" s="15">
        <v>202511</v>
      </c>
      <c r="U132" s="15"/>
      <c r="V132" s="15">
        <v>25482.728415322796</v>
      </c>
    </row>
    <row r="133" spans="1:22" ht="15.6" x14ac:dyDescent="0.3">
      <c r="A133" t="s">
        <v>212</v>
      </c>
      <c r="B133">
        <v>192.605451456986</v>
      </c>
      <c r="E133">
        <v>202512</v>
      </c>
      <c r="G133">
        <v>198.69071108113999</v>
      </c>
      <c r="H133">
        <f t="shared" si="0"/>
        <v>25681.419126403936</v>
      </c>
      <c r="L133" s="21">
        <v>202512</v>
      </c>
      <c r="M133" s="21"/>
      <c r="N133" s="20">
        <v>25681.419126403936</v>
      </c>
      <c r="T133" s="15">
        <v>202512</v>
      </c>
      <c r="U133" s="15"/>
      <c r="V133" s="15">
        <v>25681.419126403936</v>
      </c>
    </row>
    <row r="134" spans="1:22" ht="15.6" x14ac:dyDescent="0.3">
      <c r="A134" t="s">
        <v>213</v>
      </c>
      <c r="B134">
        <v>179.34359274758299</v>
      </c>
      <c r="E134">
        <v>202601</v>
      </c>
      <c r="G134">
        <v>192.605451456986</v>
      </c>
      <c r="H134">
        <f t="shared" si="0"/>
        <v>25874.024577860924</v>
      </c>
      <c r="L134" s="21">
        <v>202601</v>
      </c>
      <c r="M134" s="21"/>
      <c r="N134" s="20">
        <v>25874.024577860924</v>
      </c>
      <c r="T134" s="15">
        <v>202601</v>
      </c>
      <c r="U134" s="15"/>
      <c r="V134" s="15">
        <v>25874.024577860924</v>
      </c>
    </row>
    <row r="135" spans="1:22" ht="15.6" x14ac:dyDescent="0.3">
      <c r="A135" t="s">
        <v>214</v>
      </c>
      <c r="B135">
        <v>221.31432710308201</v>
      </c>
      <c r="E135">
        <v>202602</v>
      </c>
      <c r="G135">
        <v>179.34359274758299</v>
      </c>
      <c r="H135">
        <f t="shared" si="0"/>
        <v>26053.368170608508</v>
      </c>
      <c r="L135" s="21">
        <v>202602</v>
      </c>
      <c r="M135" s="21"/>
      <c r="N135" s="20">
        <v>26053.368170608508</v>
      </c>
      <c r="T135" s="15">
        <v>202602</v>
      </c>
      <c r="U135" s="15"/>
      <c r="V135" s="15">
        <v>26053.368170608508</v>
      </c>
    </row>
    <row r="136" spans="1:22" ht="15.6" x14ac:dyDescent="0.3">
      <c r="A136" t="s">
        <v>215</v>
      </c>
      <c r="B136">
        <v>187.101262090294</v>
      </c>
      <c r="E136">
        <v>202603</v>
      </c>
      <c r="G136">
        <v>221.31432710308201</v>
      </c>
      <c r="H136">
        <f t="shared" si="0"/>
        <v>26274.68249771159</v>
      </c>
      <c r="L136" s="21">
        <v>202603</v>
      </c>
      <c r="M136" s="21"/>
      <c r="N136" s="20">
        <v>26274.68249771159</v>
      </c>
      <c r="T136" s="15">
        <v>202603</v>
      </c>
      <c r="U136" s="15"/>
      <c r="V136" s="15">
        <v>26274.68249771159</v>
      </c>
    </row>
    <row r="137" spans="1:22" ht="15.6" x14ac:dyDescent="0.3">
      <c r="A137" t="s">
        <v>216</v>
      </c>
      <c r="B137">
        <v>184.590180649562</v>
      </c>
      <c r="E137">
        <v>202604</v>
      </c>
      <c r="G137">
        <v>187.101262090294</v>
      </c>
      <c r="H137">
        <f t="shared" si="0"/>
        <v>26461.783759801885</v>
      </c>
      <c r="L137" s="21">
        <v>202604</v>
      </c>
      <c r="M137" s="21"/>
      <c r="N137" s="20">
        <v>26461.783759801885</v>
      </c>
      <c r="T137" s="15">
        <v>202604</v>
      </c>
      <c r="U137" s="15"/>
      <c r="V137" s="15">
        <v>26461.783759801885</v>
      </c>
    </row>
    <row r="138" spans="1:22" ht="15.6" x14ac:dyDescent="0.3">
      <c r="A138" t="s">
        <v>217</v>
      </c>
      <c r="B138">
        <v>212.34140349529</v>
      </c>
      <c r="E138">
        <v>202605</v>
      </c>
      <c r="G138">
        <v>184.590180649562</v>
      </c>
      <c r="H138">
        <f t="shared" si="0"/>
        <v>26646.373940451445</v>
      </c>
      <c r="L138" s="21">
        <v>202605</v>
      </c>
      <c r="M138" s="21"/>
      <c r="N138" s="20">
        <v>26646.373940451445</v>
      </c>
      <c r="T138" s="15">
        <v>202605</v>
      </c>
      <c r="U138" s="15"/>
      <c r="V138" s="15">
        <v>26646.373940451445</v>
      </c>
    </row>
    <row r="139" spans="1:22" ht="15.6" x14ac:dyDescent="0.3">
      <c r="A139" t="s">
        <v>218</v>
      </c>
      <c r="B139">
        <v>151.719780235195</v>
      </c>
      <c r="E139">
        <v>202606</v>
      </c>
      <c r="G139">
        <v>212.34140349529</v>
      </c>
      <c r="H139">
        <f t="shared" si="0"/>
        <v>26858.715343946737</v>
      </c>
      <c r="L139" s="21">
        <v>202606</v>
      </c>
      <c r="M139" s="21"/>
      <c r="N139" s="20">
        <v>26858.715343946737</v>
      </c>
      <c r="T139" s="15">
        <v>202606</v>
      </c>
      <c r="U139" s="15"/>
      <c r="V139" s="15">
        <v>26858.715343946737</v>
      </c>
    </row>
    <row r="140" spans="1:22" ht="15.6" x14ac:dyDescent="0.3">
      <c r="A140" t="s">
        <v>219</v>
      </c>
      <c r="B140">
        <v>169.42538994162899</v>
      </c>
      <c r="E140">
        <v>202607</v>
      </c>
      <c r="G140">
        <v>151.719780235195</v>
      </c>
      <c r="H140">
        <f t="shared" si="0"/>
        <v>27010.435124181931</v>
      </c>
      <c r="L140" s="21">
        <v>202607</v>
      </c>
      <c r="M140" s="21"/>
      <c r="N140" s="20">
        <v>27010.435124181931</v>
      </c>
      <c r="T140" s="15">
        <v>202607</v>
      </c>
      <c r="U140" s="15"/>
      <c r="V140" s="15">
        <v>27010.435124181931</v>
      </c>
    </row>
    <row r="141" spans="1:22" ht="15.6" x14ac:dyDescent="0.3">
      <c r="A141" t="s">
        <v>220</v>
      </c>
      <c r="B141">
        <v>232.869285435775</v>
      </c>
      <c r="E141">
        <v>202608</v>
      </c>
      <c r="G141">
        <v>169.42538994162899</v>
      </c>
      <c r="H141">
        <f t="shared" si="0"/>
        <v>27179.86051412356</v>
      </c>
      <c r="L141" s="21">
        <v>202608</v>
      </c>
      <c r="M141" s="21"/>
      <c r="N141" s="20">
        <v>27179.86051412356</v>
      </c>
      <c r="T141" s="15">
        <v>202608</v>
      </c>
      <c r="U141" s="15"/>
      <c r="V141" s="15">
        <v>27179.86051412356</v>
      </c>
    </row>
    <row r="142" spans="1:22" ht="15.6" x14ac:dyDescent="0.3">
      <c r="A142" t="s">
        <v>221</v>
      </c>
      <c r="B142">
        <v>144.93165319654301</v>
      </c>
      <c r="E142">
        <v>202609</v>
      </c>
      <c r="G142">
        <v>232.869285435775</v>
      </c>
      <c r="H142">
        <f t="shared" si="0"/>
        <v>27412.729799559336</v>
      </c>
      <c r="L142" s="21">
        <v>202609</v>
      </c>
      <c r="M142" s="21"/>
      <c r="N142" s="20">
        <v>27412.729799559336</v>
      </c>
      <c r="T142" s="15">
        <v>202609</v>
      </c>
      <c r="U142" s="15"/>
      <c r="V142" s="15">
        <v>27412.729799559336</v>
      </c>
    </row>
    <row r="143" spans="1:22" ht="15.6" x14ac:dyDescent="0.3">
      <c r="A143" t="s">
        <v>222</v>
      </c>
      <c r="B143">
        <v>188.71915821074299</v>
      </c>
      <c r="E143">
        <v>202610</v>
      </c>
      <c r="G143">
        <v>144.93165319654301</v>
      </c>
      <c r="H143">
        <f t="shared" si="0"/>
        <v>27557.661452755878</v>
      </c>
      <c r="L143" s="21">
        <v>202610</v>
      </c>
      <c r="M143" s="21"/>
      <c r="N143" s="20">
        <v>27557.661452755878</v>
      </c>
      <c r="T143" s="15">
        <v>202610</v>
      </c>
      <c r="U143" s="15"/>
      <c r="V143" s="15">
        <v>27557.661452755878</v>
      </c>
    </row>
    <row r="144" spans="1:22" ht="15.6" x14ac:dyDescent="0.3">
      <c r="A144" t="s">
        <v>223</v>
      </c>
      <c r="B144">
        <v>189.70950251373901</v>
      </c>
      <c r="E144">
        <v>202611</v>
      </c>
      <c r="G144">
        <v>188.71915821074299</v>
      </c>
      <c r="H144">
        <f t="shared" si="0"/>
        <v>27746.380610966622</v>
      </c>
      <c r="L144" s="21">
        <v>202611</v>
      </c>
      <c r="M144" s="21"/>
      <c r="N144" s="20">
        <v>27746.380610966622</v>
      </c>
      <c r="T144" s="15">
        <v>202611</v>
      </c>
      <c r="U144" s="15"/>
      <c r="V144" s="15">
        <v>27746.380610966622</v>
      </c>
    </row>
    <row r="145" spans="5:22" ht="15.6" x14ac:dyDescent="0.3">
      <c r="E145">
        <v>202612</v>
      </c>
      <c r="G145">
        <v>189.70950251373901</v>
      </c>
      <c r="H145">
        <f t="shared" si="0"/>
        <v>27936.090113480361</v>
      </c>
      <c r="L145" s="21">
        <v>202612</v>
      </c>
      <c r="M145" s="21"/>
      <c r="N145" s="20">
        <v>27936.090113480361</v>
      </c>
      <c r="T145" s="15">
        <v>202612</v>
      </c>
      <c r="U145" s="15"/>
      <c r="V145" s="15">
        <v>27936.090113480361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Narayan</dc:creator>
  <cp:lastModifiedBy>Chaitanya Belgaumkar</cp:lastModifiedBy>
  <dcterms:created xsi:type="dcterms:W3CDTF">2025-10-29T05:44:22Z</dcterms:created>
  <dcterms:modified xsi:type="dcterms:W3CDTF">2025-11-04T10:21:47Z</dcterms:modified>
</cp:coreProperties>
</file>